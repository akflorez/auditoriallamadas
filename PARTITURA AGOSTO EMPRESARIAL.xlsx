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S:\AREA DE CALIDAD Y FORMACIÓN\PORTAFOLIO EMPRESARIAL\AUDITORÍAS P. EMPRESARIAL\2025\SEPTIEMBRE\PARTITURA\ACTIVA\"/>
    </mc:Choice>
  </mc:AlternateContent>
  <xr:revisionPtr revIDLastSave="0" documentId="13_ncr:1_{9BE987C1-5DA9-4C73-9C16-F68F1374FDEA}" xr6:coauthVersionLast="47" xr6:coauthVersionMax="47" xr10:uidLastSave="{00000000-0000-0000-0000-000000000000}"/>
  <bookViews>
    <workbookView xWindow="-120" yWindow="-120" windowWidth="29040" windowHeight="15720" activeTab="1" xr2:uid="{4BD83147-64BF-4573-BB8F-4944AA45AFA3}"/>
  </bookViews>
  <sheets>
    <sheet name="DIAGNÓSTICO" sheetId="1" r:id="rId1"/>
    <sheet name="CUARTILAMIENTO" sheetId="3" r:id="rId2"/>
    <sheet name="PARTITURA" sheetId="13" r:id="rId3"/>
    <sheet name="Hoja5" sheetId="21" state="hidden" r:id="rId4"/>
    <sheet name="ESTRATIFICACIÓN" sheetId="19" r:id="rId5"/>
    <sheet name="ANÁLISIS AGENTE" sheetId="14" r:id="rId6"/>
    <sheet name="LINEAS DE TENDENCIA EQUIPO " sheetId="24" r:id="rId7"/>
    <sheet name="DIAGRAMA DE FLUJO" sheetId="22" r:id="rId8"/>
    <sheet name="DIAGRAMA ISHIKAWA" sheetId="23" r:id="rId9"/>
    <sheet name="ESTRATIFICACIÓN DE CAUSAS" sheetId="25" r:id="rId10"/>
    <sheet name="MATRÍZ DE SELECCIÓN" sheetId="20" r:id="rId11"/>
    <sheet name="PLAN DE ACCIÓN" sheetId="9" r:id="rId12"/>
  </sheets>
  <definedNames>
    <definedName name="_xlnm._FilterDatabase" localSheetId="5" hidden="1">'ANÁLISIS AGENTE'!$A$1:$K$1</definedName>
    <definedName name="_xlnm._FilterDatabase" localSheetId="0" hidden="1">DIAGNÓSTICO!$A$1:$AT$96</definedName>
    <definedName name="_xlnm._FilterDatabase" localSheetId="4" hidden="1">ESTRATIFICACIÓN!$N$1:$N$30</definedName>
    <definedName name="_xlnm._FilterDatabase" localSheetId="2" hidden="1">PARTITURA!$A$1:$J$1</definedName>
    <definedName name="DatosExternos_1" localSheetId="4" hidden="1">ESTRATIFICACIÓN!$A$1:$M$151</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NÁLISIS EQUIPO_04fa05dc-c4ca-4f10-9b70-51012150609e" name="ANÁLISIS EQUIPO" connection="Consulta - ANÁLISIS EQUIPO"/>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0" i="3" l="1"/>
  <c r="F2" i="24" a="1"/>
  <c r="F2" i="24" s="1"/>
  <c r="E2" i="24" a="1"/>
  <c r="E2" i="24" s="1"/>
  <c r="D2" i="24" a="1"/>
  <c r="D2" i="24" s="1"/>
  <c r="C29" i="3"/>
  <c r="D40" i="3"/>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2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9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6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32" i="19"/>
  <c r="N3" i="19"/>
  <c r="O3" i="19" s="1"/>
  <c r="N4" i="19"/>
  <c r="O4" i="19" s="1"/>
  <c r="N5" i="19"/>
  <c r="O5" i="19" s="1"/>
  <c r="N6" i="19"/>
  <c r="O6" i="19" s="1"/>
  <c r="N7" i="19"/>
  <c r="O7" i="19" s="1"/>
  <c r="N8" i="19"/>
  <c r="O8" i="19" s="1"/>
  <c r="N9" i="19"/>
  <c r="O9" i="19" s="1"/>
  <c r="N10" i="19"/>
  <c r="O10" i="19" s="1"/>
  <c r="N11" i="19"/>
  <c r="O11" i="19" s="1"/>
  <c r="N12" i="19"/>
  <c r="O12" i="19" s="1"/>
  <c r="N13" i="19"/>
  <c r="O13" i="19" s="1"/>
  <c r="N14" i="19"/>
  <c r="O14" i="19" s="1"/>
  <c r="N15" i="19"/>
  <c r="O15" i="19" s="1"/>
  <c r="N16" i="19"/>
  <c r="O16" i="19" s="1"/>
  <c r="N17" i="19"/>
  <c r="O17" i="19" s="1"/>
  <c r="N18" i="19"/>
  <c r="O18" i="19" s="1"/>
  <c r="N19" i="19"/>
  <c r="O19" i="19" s="1"/>
  <c r="N20" i="19"/>
  <c r="O20" i="19" s="1"/>
  <c r="N21" i="19"/>
  <c r="O21" i="19" s="1"/>
  <c r="N22" i="19"/>
  <c r="O22" i="19" s="1"/>
  <c r="N23" i="19"/>
  <c r="O23" i="19" s="1"/>
  <c r="N24" i="19"/>
  <c r="O24" i="19" s="1"/>
  <c r="N25" i="19"/>
  <c r="O25" i="19" s="1"/>
  <c r="N26" i="19"/>
  <c r="O26" i="19" s="1"/>
  <c r="N27" i="19"/>
  <c r="O27" i="19" s="1"/>
  <c r="N28" i="19"/>
  <c r="O28" i="19" s="1"/>
  <c r="N29" i="19"/>
  <c r="O29" i="19" s="1"/>
  <c r="N30" i="19"/>
  <c r="O30" i="19" s="1"/>
  <c r="N2" i="19"/>
  <c r="O2" i="19" s="1"/>
  <c r="H32" i="13" l="1"/>
  <c r="AS91" i="1"/>
  <c r="AS92" i="1"/>
  <c r="AS93" i="1"/>
  <c r="AS94" i="1"/>
  <c r="AS90" i="1"/>
  <c r="AS85" i="1"/>
  <c r="AS86" i="1"/>
  <c r="AS87" i="1"/>
  <c r="AS88" i="1"/>
  <c r="AS84" i="1"/>
  <c r="AS79" i="1"/>
  <c r="AS80" i="1"/>
  <c r="AS81" i="1"/>
  <c r="AS82" i="1"/>
  <c r="AS78" i="1"/>
  <c r="AS72" i="1"/>
  <c r="AS73" i="1"/>
  <c r="AS74" i="1"/>
  <c r="AS75" i="1"/>
  <c r="AS71" i="1"/>
  <c r="AS66" i="1"/>
  <c r="AS67" i="1"/>
  <c r="AS68" i="1"/>
  <c r="AS69" i="1"/>
  <c r="AS65" i="1"/>
  <c r="AS60" i="1"/>
  <c r="AS61" i="1"/>
  <c r="AS62" i="1"/>
  <c r="AS63" i="1"/>
  <c r="AS59" i="1"/>
  <c r="AS53" i="1"/>
  <c r="AS54" i="1"/>
  <c r="AS55" i="1"/>
  <c r="AS56" i="1"/>
  <c r="AS52" i="1"/>
  <c r="AS47" i="1"/>
  <c r="AS48" i="1"/>
  <c r="AS49" i="1"/>
  <c r="AS50" i="1"/>
  <c r="AS46" i="1"/>
  <c r="AS41" i="1"/>
  <c r="AS42" i="1"/>
  <c r="AS43" i="1"/>
  <c r="AS44" i="1"/>
  <c r="AS40" i="1"/>
  <c r="AS34" i="1"/>
  <c r="AS35" i="1"/>
  <c r="AS36" i="1"/>
  <c r="AS37" i="1"/>
  <c r="AS33" i="1"/>
  <c r="AS28" i="1"/>
  <c r="AS29" i="1"/>
  <c r="AS30" i="1"/>
  <c r="AS31" i="1"/>
  <c r="AS27" i="1"/>
  <c r="AS22" i="1"/>
  <c r="AS23" i="1"/>
  <c r="AS24" i="1"/>
  <c r="AS25" i="1"/>
  <c r="AS21" i="1"/>
  <c r="AS15" i="1"/>
  <c r="AS16" i="1"/>
  <c r="AS17" i="1"/>
  <c r="AS18" i="1"/>
  <c r="AS14" i="1"/>
  <c r="AS9" i="1"/>
  <c r="AS10" i="1"/>
  <c r="AS11" i="1"/>
  <c r="AS12" i="1"/>
  <c r="AS8" i="1"/>
  <c r="AS3" i="1"/>
  <c r="AS4" i="1"/>
  <c r="AS5" i="1"/>
  <c r="AS6" i="1"/>
  <c r="AS2" i="1"/>
  <c r="C25" i="3" l="1"/>
  <c r="C16" i="3"/>
  <c r="D36" i="3"/>
  <c r="D38" i="3" s="1"/>
  <c r="D35" i="3"/>
  <c r="C17" i="3" s="1"/>
  <c r="D37" i="3" l="1"/>
  <c r="C18" i="3" s="1"/>
  <c r="D39" i="3"/>
  <c r="C19" i="3" l="1"/>
  <c r="C27" i="3" l="1"/>
  <c r="C28" i="3" s="1"/>
  <c r="C34" i="3" s="1"/>
  <c r="AR95" i="1"/>
  <c r="AQ95" i="1"/>
  <c r="AP95" i="1"/>
  <c r="AO95" i="1"/>
  <c r="AN95" i="1"/>
  <c r="AM95" i="1"/>
  <c r="AL95" i="1"/>
  <c r="AK95" i="1"/>
  <c r="AJ95" i="1"/>
  <c r="AI95" i="1"/>
  <c r="AH95" i="1"/>
  <c r="AG95" i="1"/>
  <c r="AF95" i="1"/>
  <c r="AE95" i="1"/>
  <c r="AD95" i="1"/>
  <c r="AC95" i="1"/>
  <c r="AB95" i="1"/>
  <c r="AA95" i="1"/>
  <c r="Z95" i="1"/>
  <c r="Y95" i="1"/>
  <c r="X95" i="1"/>
  <c r="W95" i="1"/>
  <c r="V95" i="1"/>
  <c r="U95" i="1"/>
  <c r="T95" i="1"/>
  <c r="S95" i="1"/>
  <c r="R95" i="1"/>
  <c r="Q95" i="1"/>
  <c r="P95" i="1"/>
  <c r="AR89" i="1"/>
  <c r="AQ89" i="1"/>
  <c r="AP89" i="1"/>
  <c r="AO89" i="1"/>
  <c r="AN89" i="1"/>
  <c r="AM89" i="1"/>
  <c r="AL89" i="1"/>
  <c r="AK89" i="1"/>
  <c r="AJ89" i="1"/>
  <c r="AI89" i="1"/>
  <c r="AH89" i="1"/>
  <c r="AG89" i="1"/>
  <c r="AF89" i="1"/>
  <c r="AE89" i="1"/>
  <c r="AD89" i="1"/>
  <c r="AC89" i="1"/>
  <c r="AB89" i="1"/>
  <c r="AA89" i="1"/>
  <c r="Z89" i="1"/>
  <c r="Y89" i="1"/>
  <c r="X89" i="1"/>
  <c r="W89" i="1"/>
  <c r="V89" i="1"/>
  <c r="U89" i="1"/>
  <c r="T89" i="1"/>
  <c r="S89" i="1"/>
  <c r="R89" i="1"/>
  <c r="Q89" i="1"/>
  <c r="P89" i="1"/>
  <c r="AR83" i="1"/>
  <c r="AQ83" i="1"/>
  <c r="AP83" i="1"/>
  <c r="AO83" i="1"/>
  <c r="AN83" i="1"/>
  <c r="AM83" i="1"/>
  <c r="AL83" i="1"/>
  <c r="AK83" i="1"/>
  <c r="AJ83" i="1"/>
  <c r="AI83" i="1"/>
  <c r="AH83" i="1"/>
  <c r="AG83" i="1"/>
  <c r="AF83" i="1"/>
  <c r="AE83" i="1"/>
  <c r="AD83" i="1"/>
  <c r="AC83" i="1"/>
  <c r="AB83" i="1"/>
  <c r="AA83" i="1"/>
  <c r="Z83" i="1"/>
  <c r="Y83" i="1"/>
  <c r="X83" i="1"/>
  <c r="W83" i="1"/>
  <c r="V83" i="1"/>
  <c r="U83" i="1"/>
  <c r="T83" i="1"/>
  <c r="S83" i="1"/>
  <c r="R83" i="1"/>
  <c r="Q83" i="1"/>
  <c r="P83" i="1"/>
  <c r="AR76" i="1"/>
  <c r="AQ76"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AR70" i="1"/>
  <c r="AQ70" i="1"/>
  <c r="AP70" i="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AR64" i="1"/>
  <c r="AQ64" i="1"/>
  <c r="AP64" i="1"/>
  <c r="AO64" i="1"/>
  <c r="AN64" i="1"/>
  <c r="AM64" i="1"/>
  <c r="AL64" i="1"/>
  <c r="AK64" i="1"/>
  <c r="AJ64" i="1"/>
  <c r="AI64" i="1"/>
  <c r="AH64" i="1"/>
  <c r="AG64" i="1"/>
  <c r="AF64" i="1"/>
  <c r="AE64" i="1"/>
  <c r="AD64" i="1"/>
  <c r="AC64" i="1"/>
  <c r="AB64" i="1"/>
  <c r="AA64" i="1"/>
  <c r="Z64" i="1"/>
  <c r="Y64" i="1"/>
  <c r="X64" i="1"/>
  <c r="W64" i="1"/>
  <c r="V64" i="1"/>
  <c r="U64" i="1"/>
  <c r="T64" i="1"/>
  <c r="S64" i="1"/>
  <c r="R64" i="1"/>
  <c r="Q64" i="1"/>
  <c r="P64" i="1"/>
  <c r="AR57" i="1"/>
  <c r="AQ57" i="1"/>
  <c r="AP57" i="1"/>
  <c r="AO57" i="1"/>
  <c r="AN57" i="1"/>
  <c r="AM57" i="1"/>
  <c r="AL57" i="1"/>
  <c r="AK57" i="1"/>
  <c r="AJ57" i="1"/>
  <c r="AI57" i="1"/>
  <c r="AH57" i="1"/>
  <c r="AG57" i="1"/>
  <c r="AF57" i="1"/>
  <c r="AE57" i="1"/>
  <c r="AD57" i="1"/>
  <c r="AC57" i="1"/>
  <c r="AB57" i="1"/>
  <c r="AA57" i="1"/>
  <c r="Z57" i="1"/>
  <c r="Y57" i="1"/>
  <c r="X57" i="1"/>
  <c r="W57" i="1"/>
  <c r="V57" i="1"/>
  <c r="U57" i="1"/>
  <c r="T57" i="1"/>
  <c r="S57" i="1"/>
  <c r="R57" i="1"/>
  <c r="Q57" i="1"/>
  <c r="P57" i="1"/>
  <c r="AR51" i="1"/>
  <c r="AQ51" i="1"/>
  <c r="AP51" i="1"/>
  <c r="AO51" i="1"/>
  <c r="AN51" i="1"/>
  <c r="AM51" i="1"/>
  <c r="AL51" i="1"/>
  <c r="AK51" i="1"/>
  <c r="AJ51" i="1"/>
  <c r="AI51" i="1"/>
  <c r="AH51" i="1"/>
  <c r="AG51" i="1"/>
  <c r="AF51" i="1"/>
  <c r="AE51" i="1"/>
  <c r="AD51" i="1"/>
  <c r="AC51" i="1"/>
  <c r="AB51" i="1"/>
  <c r="AA51" i="1"/>
  <c r="Z51" i="1"/>
  <c r="Y51" i="1"/>
  <c r="X51" i="1"/>
  <c r="W51" i="1"/>
  <c r="V51" i="1"/>
  <c r="U51" i="1"/>
  <c r="T51" i="1"/>
  <c r="S51" i="1"/>
  <c r="R51" i="1"/>
  <c r="Q51" i="1"/>
  <c r="P51" i="1"/>
  <c r="G212" i="14" s="1" a="1"/>
  <c r="G212" i="14" s="1"/>
  <c r="AR45" i="1"/>
  <c r="AQ45" i="1"/>
  <c r="AP45" i="1"/>
  <c r="AO45" i="1"/>
  <c r="AN45" i="1"/>
  <c r="AM45" i="1"/>
  <c r="AL45" i="1"/>
  <c r="AK45" i="1"/>
  <c r="AJ45" i="1"/>
  <c r="AI45" i="1"/>
  <c r="AH45" i="1"/>
  <c r="AG45" i="1"/>
  <c r="AF45" i="1"/>
  <c r="AE45" i="1"/>
  <c r="AD45" i="1"/>
  <c r="AC45" i="1"/>
  <c r="AB45" i="1"/>
  <c r="AA45" i="1"/>
  <c r="Z45" i="1"/>
  <c r="Y45" i="1"/>
  <c r="X45" i="1"/>
  <c r="W45" i="1"/>
  <c r="V45" i="1"/>
  <c r="U45" i="1"/>
  <c r="T45" i="1"/>
  <c r="S45" i="1"/>
  <c r="R45" i="1"/>
  <c r="Q45" i="1"/>
  <c r="P45" i="1"/>
  <c r="AR38" i="1"/>
  <c r="AQ38" i="1"/>
  <c r="AP38" i="1"/>
  <c r="AO38" i="1"/>
  <c r="AN38" i="1"/>
  <c r="AM38" i="1"/>
  <c r="AL38" i="1"/>
  <c r="AK38" i="1"/>
  <c r="AJ38" i="1"/>
  <c r="AI38" i="1"/>
  <c r="AH38" i="1"/>
  <c r="AG38" i="1"/>
  <c r="AF38" i="1"/>
  <c r="AE38" i="1"/>
  <c r="AD38" i="1"/>
  <c r="AC38" i="1"/>
  <c r="AB38" i="1"/>
  <c r="AA38" i="1"/>
  <c r="Z38" i="1"/>
  <c r="Y38" i="1"/>
  <c r="X38" i="1"/>
  <c r="W38" i="1"/>
  <c r="V38" i="1"/>
  <c r="U38" i="1"/>
  <c r="T38" i="1"/>
  <c r="S38" i="1"/>
  <c r="R38" i="1"/>
  <c r="Q38" i="1"/>
  <c r="P38" i="1"/>
  <c r="AR32" i="1"/>
  <c r="AQ32" i="1"/>
  <c r="AP32" i="1"/>
  <c r="AO32" i="1"/>
  <c r="AN32" i="1"/>
  <c r="AM32" i="1"/>
  <c r="AL32" i="1"/>
  <c r="AK32" i="1"/>
  <c r="AJ32" i="1"/>
  <c r="AI32" i="1"/>
  <c r="AH32" i="1"/>
  <c r="AG32" i="1"/>
  <c r="AF32" i="1"/>
  <c r="AE32" i="1"/>
  <c r="AD32" i="1"/>
  <c r="AC32" i="1"/>
  <c r="AB32" i="1"/>
  <c r="AA32" i="1"/>
  <c r="Z32" i="1"/>
  <c r="Y32" i="1"/>
  <c r="X32" i="1"/>
  <c r="W32" i="1"/>
  <c r="V32" i="1"/>
  <c r="U32" i="1"/>
  <c r="T32" i="1"/>
  <c r="S32" i="1"/>
  <c r="R32" i="1"/>
  <c r="Q32" i="1"/>
  <c r="P32" i="1"/>
  <c r="AR26" i="1"/>
  <c r="AQ26" i="1"/>
  <c r="AP26" i="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AR13" i="1"/>
  <c r="AQ13" i="1"/>
  <c r="AP13" i="1"/>
  <c r="AO13" i="1"/>
  <c r="AN13" i="1"/>
  <c r="AM13" i="1"/>
  <c r="AL13" i="1"/>
  <c r="AK13" i="1"/>
  <c r="AJ13" i="1"/>
  <c r="AI13" i="1"/>
  <c r="AH13" i="1"/>
  <c r="AG13" i="1"/>
  <c r="AF13" i="1"/>
  <c r="AE13" i="1"/>
  <c r="AD13" i="1"/>
  <c r="AC13" i="1"/>
  <c r="AB13" i="1"/>
  <c r="AA13" i="1"/>
  <c r="Z13" i="1"/>
  <c r="Y13" i="1"/>
  <c r="X13" i="1"/>
  <c r="W13" i="1"/>
  <c r="V13" i="1"/>
  <c r="U13" i="1"/>
  <c r="T13" i="1"/>
  <c r="S13" i="1"/>
  <c r="R13" i="1"/>
  <c r="Q13" i="1"/>
  <c r="P13" i="1"/>
  <c r="Q7" i="1"/>
  <c r="R7" i="1"/>
  <c r="S7" i="1"/>
  <c r="T7" i="1"/>
  <c r="U7" i="1"/>
  <c r="V7" i="1"/>
  <c r="W7" i="1"/>
  <c r="X7" i="1"/>
  <c r="Y7" i="1"/>
  <c r="Z7" i="1"/>
  <c r="AA7" i="1"/>
  <c r="AB7" i="1"/>
  <c r="AC7" i="1"/>
  <c r="AD7" i="1"/>
  <c r="AE7" i="1"/>
  <c r="AF7" i="1"/>
  <c r="AG7" i="1"/>
  <c r="AH7" i="1"/>
  <c r="AI7" i="1"/>
  <c r="AJ7" i="1"/>
  <c r="AK7" i="1"/>
  <c r="AL7" i="1"/>
  <c r="AM7" i="1"/>
  <c r="AN7" i="1"/>
  <c r="AO7" i="1"/>
  <c r="AP7" i="1"/>
  <c r="AQ7" i="1"/>
  <c r="AR7" i="1"/>
  <c r="P7" i="1"/>
  <c r="G92" i="14" l="1" a="1"/>
  <c r="G92" i="14" s="1"/>
  <c r="G332" i="14" a="1"/>
  <c r="G332" i="14" s="1"/>
  <c r="G361" i="14" s="1"/>
  <c r="G242" i="14" a="1"/>
  <c r="G242" i="14" s="1"/>
  <c r="G271" i="14" s="1"/>
  <c r="G152" i="14" a="1"/>
  <c r="G152" i="14" s="1"/>
  <c r="G181" i="14" s="1"/>
  <c r="G62" i="14" a="1"/>
  <c r="G422" i="14" a="1"/>
  <c r="G422" i="14" s="1"/>
  <c r="G451" i="14" s="1"/>
  <c r="G32" i="14" a="1"/>
  <c r="G32" i="14" s="1"/>
  <c r="G392" i="14" a="1"/>
  <c r="G392" i="14" s="1"/>
  <c r="G122" i="14" a="1"/>
  <c r="G122" i="14" s="1"/>
  <c r="G302" i="14" a="1"/>
  <c r="G302" i="14" s="1"/>
  <c r="G2" i="14" a="1"/>
  <c r="G2" i="14" s="1"/>
  <c r="G182" i="14" a="1"/>
  <c r="G182" i="14" s="1"/>
  <c r="G362" i="14" a="1"/>
  <c r="G362" i="14" s="1"/>
  <c r="G272" i="14" a="1"/>
  <c r="C36" i="3"/>
  <c r="C3" i="3"/>
  <c r="C30" i="3"/>
  <c r="C31" i="3" s="1"/>
  <c r="H155" i="14" l="1"/>
  <c r="H159" i="14"/>
  <c r="H163" i="14"/>
  <c r="H167" i="14"/>
  <c r="H171" i="14"/>
  <c r="H175" i="14"/>
  <c r="H179" i="14"/>
  <c r="H156" i="14"/>
  <c r="H160" i="14"/>
  <c r="H164" i="14"/>
  <c r="H168" i="14"/>
  <c r="H172" i="14"/>
  <c r="H176" i="14"/>
  <c r="H180" i="14"/>
  <c r="H153" i="14"/>
  <c r="H161" i="14"/>
  <c r="H169" i="14"/>
  <c r="H177" i="14"/>
  <c r="H165" i="14"/>
  <c r="H152" i="14"/>
  <c r="H166" i="14"/>
  <c r="H154" i="14"/>
  <c r="H162" i="14"/>
  <c r="H170" i="14"/>
  <c r="H178" i="14"/>
  <c r="H157" i="14"/>
  <c r="H173" i="14"/>
  <c r="H158" i="14"/>
  <c r="H174" i="14"/>
  <c r="H246" i="14"/>
  <c r="H250" i="14"/>
  <c r="H254" i="14"/>
  <c r="H258" i="14"/>
  <c r="H262" i="14"/>
  <c r="H266" i="14"/>
  <c r="H270" i="14"/>
  <c r="H243" i="14"/>
  <c r="H247" i="14"/>
  <c r="H251" i="14"/>
  <c r="H255" i="14"/>
  <c r="H259" i="14"/>
  <c r="H263" i="14"/>
  <c r="H267" i="14"/>
  <c r="H242" i="14"/>
  <c r="H248" i="14"/>
  <c r="H256" i="14"/>
  <c r="H264" i="14"/>
  <c r="H252" i="14"/>
  <c r="H268" i="14"/>
  <c r="H253" i="14"/>
  <c r="H269" i="14"/>
  <c r="H249" i="14"/>
  <c r="H257" i="14"/>
  <c r="H265" i="14"/>
  <c r="H244" i="14"/>
  <c r="H260" i="14"/>
  <c r="H245" i="14"/>
  <c r="H261" i="14"/>
  <c r="H424" i="14"/>
  <c r="H428" i="14"/>
  <c r="H432" i="14"/>
  <c r="H436" i="14"/>
  <c r="H440" i="14"/>
  <c r="H444" i="14"/>
  <c r="H448" i="14"/>
  <c r="H425" i="14"/>
  <c r="H429" i="14"/>
  <c r="H433" i="14"/>
  <c r="H437" i="14"/>
  <c r="H441" i="14"/>
  <c r="H445" i="14"/>
  <c r="H449" i="14"/>
  <c r="H430" i="14"/>
  <c r="H438" i="14"/>
  <c r="H446" i="14"/>
  <c r="H435" i="14"/>
  <c r="H443" i="14"/>
  <c r="H423" i="14"/>
  <c r="H431" i="14"/>
  <c r="H439" i="14"/>
  <c r="H447" i="14"/>
  <c r="H426" i="14"/>
  <c r="H434" i="14"/>
  <c r="H442" i="14"/>
  <c r="H450" i="14"/>
  <c r="H427" i="14"/>
  <c r="H422" i="14"/>
  <c r="H333" i="14"/>
  <c r="H337" i="14"/>
  <c r="H341" i="14"/>
  <c r="H345" i="14"/>
  <c r="H349" i="14"/>
  <c r="H353" i="14"/>
  <c r="H357" i="14"/>
  <c r="H332" i="14"/>
  <c r="H334" i="14"/>
  <c r="H338" i="14"/>
  <c r="H342" i="14"/>
  <c r="H346" i="14"/>
  <c r="H350" i="14"/>
  <c r="H354" i="14"/>
  <c r="H358" i="14"/>
  <c r="H335" i="14"/>
  <c r="H343" i="14"/>
  <c r="H351" i="14"/>
  <c r="H359" i="14"/>
  <c r="H347" i="14"/>
  <c r="H340" i="14"/>
  <c r="H356" i="14"/>
  <c r="H336" i="14"/>
  <c r="H344" i="14"/>
  <c r="H352" i="14"/>
  <c r="H360" i="14"/>
  <c r="H339" i="14"/>
  <c r="H355" i="14"/>
  <c r="H348" i="14"/>
  <c r="I5" i="14"/>
  <c r="I95" i="14" s="1"/>
  <c r="J95" i="14" s="1"/>
  <c r="I8" i="14"/>
  <c r="I98" i="14" s="1"/>
  <c r="J98" i="14" s="1"/>
  <c r="K98" i="14" s="1"/>
  <c r="I7" i="14"/>
  <c r="I97" i="14" s="1"/>
  <c r="J97" i="14" s="1"/>
  <c r="K97" i="14" s="1"/>
  <c r="I6" i="14"/>
  <c r="I96" i="14" s="1"/>
  <c r="J96" i="14" s="1"/>
  <c r="K96" i="14" s="1"/>
  <c r="I28" i="14"/>
  <c r="I118" i="14" s="1"/>
  <c r="J118" i="14" s="1"/>
  <c r="K118" i="14" s="1"/>
  <c r="I26" i="14"/>
  <c r="I116" i="14" s="1"/>
  <c r="J116" i="14" s="1"/>
  <c r="K116" i="14" s="1"/>
  <c r="I21" i="14"/>
  <c r="I111" i="14" s="1"/>
  <c r="I381" i="14" s="1"/>
  <c r="I24" i="14"/>
  <c r="I114" i="14" s="1"/>
  <c r="J114" i="14" s="1"/>
  <c r="K114" i="14" s="1"/>
  <c r="I19" i="14"/>
  <c r="I109" i="14" s="1"/>
  <c r="J109" i="14" s="1"/>
  <c r="I22" i="14"/>
  <c r="I112" i="14" s="1"/>
  <c r="J112" i="14" s="1"/>
  <c r="K112" i="14" s="1"/>
  <c r="I14" i="14"/>
  <c r="I104" i="14" s="1"/>
  <c r="J104" i="14" s="1"/>
  <c r="K104" i="14" s="1"/>
  <c r="I29" i="14"/>
  <c r="I119" i="14" s="1"/>
  <c r="J119" i="14" s="1"/>
  <c r="K119" i="14" s="1"/>
  <c r="I27" i="14"/>
  <c r="I117" i="14" s="1"/>
  <c r="J117" i="14" s="1"/>
  <c r="K117" i="14" s="1"/>
  <c r="I17" i="14"/>
  <c r="I107" i="14" s="1"/>
  <c r="J107" i="14" s="1"/>
  <c r="K107" i="14" s="1"/>
  <c r="I12" i="14"/>
  <c r="I102" i="14" s="1"/>
  <c r="J102" i="14" s="1"/>
  <c r="K102" i="14" s="1"/>
  <c r="I11" i="14"/>
  <c r="I101" i="14" s="1"/>
  <c r="I371" i="14" s="1"/>
  <c r="I18" i="14"/>
  <c r="I108" i="14" s="1"/>
  <c r="J108" i="14" s="1"/>
  <c r="G62" i="14"/>
  <c r="I65" i="14"/>
  <c r="I69" i="14"/>
  <c r="I73" i="14"/>
  <c r="I77" i="14"/>
  <c r="I81" i="14"/>
  <c r="I85" i="14"/>
  <c r="I89" i="14"/>
  <c r="I66" i="14"/>
  <c r="I70" i="14"/>
  <c r="I74" i="14"/>
  <c r="I78" i="14"/>
  <c r="I82" i="14"/>
  <c r="I86" i="14"/>
  <c r="I90" i="14"/>
  <c r="I63" i="14"/>
  <c r="I67" i="14"/>
  <c r="I71" i="14"/>
  <c r="I75" i="14"/>
  <c r="I79" i="14"/>
  <c r="I83" i="14"/>
  <c r="I87" i="14"/>
  <c r="I64" i="14"/>
  <c r="I68" i="14"/>
  <c r="I72" i="14"/>
  <c r="I76" i="14"/>
  <c r="I80" i="14"/>
  <c r="I84" i="14"/>
  <c r="I88" i="14"/>
  <c r="I13" i="14"/>
  <c r="I103" i="14" s="1"/>
  <c r="J103" i="14" s="1"/>
  <c r="K103" i="14" s="1"/>
  <c r="I16" i="14"/>
  <c r="I106" i="14" s="1"/>
  <c r="J106" i="14" s="1"/>
  <c r="K106" i="14" s="1"/>
  <c r="I23" i="14"/>
  <c r="I3" i="14"/>
  <c r="I93" i="14" s="1"/>
  <c r="J93" i="14" s="1"/>
  <c r="K93" i="14" s="1"/>
  <c r="I10" i="14"/>
  <c r="I100" i="14" s="1"/>
  <c r="I370" i="14" s="1"/>
  <c r="J28" i="14"/>
  <c r="J27" i="14"/>
  <c r="I25" i="14"/>
  <c r="I115" i="14" s="1"/>
  <c r="J115" i="14" s="1"/>
  <c r="K115" i="14" s="1"/>
  <c r="I9" i="14"/>
  <c r="I99" i="14" s="1"/>
  <c r="J99" i="14" s="1"/>
  <c r="K99" i="14" s="1"/>
  <c r="I20" i="14"/>
  <c r="I110" i="14" s="1"/>
  <c r="J110" i="14" s="1"/>
  <c r="K110" i="14" s="1"/>
  <c r="I4" i="14"/>
  <c r="I94" i="14" s="1"/>
  <c r="I184" i="14" s="1"/>
  <c r="J184" i="14" s="1"/>
  <c r="K184" i="14" s="1"/>
  <c r="I15" i="14"/>
  <c r="I105" i="14" s="1"/>
  <c r="I195" i="14" s="1"/>
  <c r="I30" i="14"/>
  <c r="I120" i="14" s="1"/>
  <c r="J120" i="14" s="1"/>
  <c r="K120" i="14" s="1"/>
  <c r="J5" i="14"/>
  <c r="J18" i="14"/>
  <c r="G391" i="14"/>
  <c r="H362" i="14" s="1"/>
  <c r="G272" i="14"/>
  <c r="I36" i="14"/>
  <c r="J36" i="14" s="1"/>
  <c r="I40" i="14"/>
  <c r="J40" i="14" s="1"/>
  <c r="I44" i="14"/>
  <c r="J44" i="14" s="1"/>
  <c r="I48" i="14"/>
  <c r="J48" i="14" s="1"/>
  <c r="I52" i="14"/>
  <c r="I56" i="14"/>
  <c r="J56" i="14" s="1"/>
  <c r="I60" i="14"/>
  <c r="J60" i="14" s="1"/>
  <c r="I35" i="14"/>
  <c r="J35" i="14" s="1"/>
  <c r="I37" i="14"/>
  <c r="J37" i="14" s="1"/>
  <c r="I41" i="14"/>
  <c r="I45" i="14"/>
  <c r="J45" i="14" s="1"/>
  <c r="I49" i="14"/>
  <c r="J49" i="14" s="1"/>
  <c r="I53" i="14"/>
  <c r="I57" i="14"/>
  <c r="I33" i="14"/>
  <c r="J33" i="14" s="1"/>
  <c r="I38" i="14"/>
  <c r="J38" i="14" s="1"/>
  <c r="I42" i="14"/>
  <c r="I46" i="14"/>
  <c r="I50" i="14"/>
  <c r="J50" i="14" s="1"/>
  <c r="I54" i="14"/>
  <c r="J54" i="14" s="1"/>
  <c r="I58" i="14"/>
  <c r="I34" i="14"/>
  <c r="I39" i="14"/>
  <c r="J39" i="14" s="1"/>
  <c r="I43" i="14"/>
  <c r="J43" i="14" s="1"/>
  <c r="I47" i="14"/>
  <c r="J47" i="14" s="1"/>
  <c r="I51" i="14"/>
  <c r="I55" i="14"/>
  <c r="J55" i="14" s="1"/>
  <c r="I59" i="14"/>
  <c r="J59" i="14" s="1"/>
  <c r="J58" i="14"/>
  <c r="I388" i="14"/>
  <c r="K109" i="14"/>
  <c r="K108" i="14"/>
  <c r="I275" i="14"/>
  <c r="I387" i="14"/>
  <c r="K95" i="14"/>
  <c r="I188" i="14"/>
  <c r="I379" i="14"/>
  <c r="I273" i="14"/>
  <c r="I288" i="14"/>
  <c r="I2" i="14"/>
  <c r="G31" i="14"/>
  <c r="G151" i="14"/>
  <c r="H122" i="14" s="1"/>
  <c r="G211" i="14"/>
  <c r="H182" i="14" s="1"/>
  <c r="G121" i="14"/>
  <c r="C35" i="3"/>
  <c r="C4" i="3" s="1"/>
  <c r="W58" i="1"/>
  <c r="AA58" i="1"/>
  <c r="AE58" i="1"/>
  <c r="AI58" i="1"/>
  <c r="AM58" i="1"/>
  <c r="AQ58" i="1"/>
  <c r="AS57" i="1"/>
  <c r="F17" i="3" s="1"/>
  <c r="G17" i="3" s="1"/>
  <c r="H17" i="3" s="1"/>
  <c r="AS70" i="1"/>
  <c r="F22" i="3" s="1"/>
  <c r="G22" i="3" s="1"/>
  <c r="H22" i="3" s="1"/>
  <c r="AS83" i="1"/>
  <c r="F27" i="3" s="1"/>
  <c r="G27" i="3" s="1"/>
  <c r="AS95" i="1"/>
  <c r="F29" i="3" s="1"/>
  <c r="P58" i="1"/>
  <c r="T58" i="1"/>
  <c r="X58" i="1"/>
  <c r="AB58" i="1"/>
  <c r="AF58" i="1"/>
  <c r="AJ58" i="1"/>
  <c r="AN58" i="1"/>
  <c r="AR58" i="1"/>
  <c r="AS26" i="1"/>
  <c r="F9" i="3" s="1"/>
  <c r="Q58" i="1"/>
  <c r="U58" i="1"/>
  <c r="Y58" i="1"/>
  <c r="AC58" i="1"/>
  <c r="AG58" i="1"/>
  <c r="AK58" i="1"/>
  <c r="AO58" i="1"/>
  <c r="AS32" i="1"/>
  <c r="F10" i="3" s="1"/>
  <c r="G10" i="3" s="1"/>
  <c r="H10" i="3" s="1"/>
  <c r="P39" i="1"/>
  <c r="T39" i="1"/>
  <c r="X39" i="1"/>
  <c r="AB39" i="1"/>
  <c r="AF39" i="1"/>
  <c r="AJ39" i="1"/>
  <c r="AN39" i="1"/>
  <c r="AR39" i="1"/>
  <c r="AS64" i="1"/>
  <c r="F21" i="3" s="1"/>
  <c r="P77" i="1"/>
  <c r="T77" i="1"/>
  <c r="X77" i="1"/>
  <c r="AB77" i="1"/>
  <c r="AF77" i="1"/>
  <c r="AJ77" i="1"/>
  <c r="AN77" i="1"/>
  <c r="AR77" i="1"/>
  <c r="AS89" i="1"/>
  <c r="F28" i="3" s="1"/>
  <c r="G28" i="3" s="1"/>
  <c r="H28" i="3" s="1"/>
  <c r="T96" i="1"/>
  <c r="X96" i="1"/>
  <c r="AB96" i="1"/>
  <c r="AF96" i="1"/>
  <c r="AJ96" i="1"/>
  <c r="AN96" i="1"/>
  <c r="AR96" i="1"/>
  <c r="R96" i="1"/>
  <c r="V96" i="1"/>
  <c r="Z96" i="1"/>
  <c r="AD96" i="1"/>
  <c r="AH96" i="1"/>
  <c r="AL96" i="1"/>
  <c r="AP96" i="1"/>
  <c r="P96" i="1"/>
  <c r="S96" i="1"/>
  <c r="W96" i="1"/>
  <c r="AA96" i="1"/>
  <c r="AE96" i="1"/>
  <c r="AI96" i="1"/>
  <c r="AM96" i="1"/>
  <c r="AQ96" i="1"/>
  <c r="Q96" i="1"/>
  <c r="U96" i="1"/>
  <c r="Y96" i="1"/>
  <c r="AC96" i="1"/>
  <c r="AG96" i="1"/>
  <c r="AK96" i="1"/>
  <c r="AO96" i="1"/>
  <c r="AS76" i="1"/>
  <c r="F23" i="3" s="1"/>
  <c r="G23" i="3" s="1"/>
  <c r="H23" i="3" s="1"/>
  <c r="S77" i="1"/>
  <c r="AA77" i="1"/>
  <c r="AE77" i="1"/>
  <c r="AI77" i="1"/>
  <c r="AM77" i="1"/>
  <c r="AQ77" i="1"/>
  <c r="R77" i="1"/>
  <c r="V77" i="1"/>
  <c r="Z77" i="1"/>
  <c r="AD77" i="1"/>
  <c r="AH77" i="1"/>
  <c r="AL77" i="1"/>
  <c r="AP77" i="1"/>
  <c r="Q77" i="1"/>
  <c r="U77" i="1"/>
  <c r="Y77" i="1"/>
  <c r="AC77" i="1"/>
  <c r="AG77" i="1"/>
  <c r="AK77" i="1"/>
  <c r="AO77" i="1"/>
  <c r="W77" i="1"/>
  <c r="S58" i="1"/>
  <c r="AS51" i="1"/>
  <c r="F16" i="3" s="1"/>
  <c r="G16" i="3" s="1"/>
  <c r="H16" i="3" s="1"/>
  <c r="R58" i="1"/>
  <c r="V58" i="1"/>
  <c r="Z58" i="1"/>
  <c r="AD58" i="1"/>
  <c r="AH58" i="1"/>
  <c r="AL58" i="1"/>
  <c r="AP58" i="1"/>
  <c r="AS45" i="1"/>
  <c r="AS38" i="1"/>
  <c r="AL39" i="1"/>
  <c r="R39" i="1"/>
  <c r="V39" i="1"/>
  <c r="Z39" i="1"/>
  <c r="AD39" i="1"/>
  <c r="AH39" i="1"/>
  <c r="AP39" i="1"/>
  <c r="AI39" i="1"/>
  <c r="S39" i="1"/>
  <c r="W39" i="1"/>
  <c r="AA39" i="1"/>
  <c r="AE39" i="1"/>
  <c r="AQ39" i="1"/>
  <c r="Q39" i="1"/>
  <c r="U39" i="1"/>
  <c r="Y39" i="1"/>
  <c r="AC39" i="1"/>
  <c r="AG39" i="1"/>
  <c r="AK39" i="1"/>
  <c r="AO39" i="1"/>
  <c r="AM39" i="1"/>
  <c r="I198" i="14" l="1"/>
  <c r="I289" i="14"/>
  <c r="I207" i="14"/>
  <c r="J207" i="14" s="1"/>
  <c r="K207" i="14" s="1"/>
  <c r="I185" i="14"/>
  <c r="J185" i="14" s="1"/>
  <c r="K185" i="14" s="1"/>
  <c r="I298" i="14"/>
  <c r="J17" i="14"/>
  <c r="I378" i="14"/>
  <c r="J378" i="14" s="1"/>
  <c r="K378" i="14" s="1"/>
  <c r="I199" i="14"/>
  <c r="J289" i="14" s="1"/>
  <c r="K289" i="14" s="1"/>
  <c r="I297" i="14"/>
  <c r="I365" i="14"/>
  <c r="I208" i="14"/>
  <c r="J208" i="14" s="1"/>
  <c r="K208" i="14" s="1"/>
  <c r="I296" i="14"/>
  <c r="J19" i="14"/>
  <c r="I165" i="14"/>
  <c r="J75" i="14"/>
  <c r="I170" i="14"/>
  <c r="J80" i="14"/>
  <c r="I154" i="14"/>
  <c r="J64" i="14"/>
  <c r="J90" i="14"/>
  <c r="I180" i="14"/>
  <c r="J74" i="14"/>
  <c r="I164" i="14"/>
  <c r="I175" i="14"/>
  <c r="J85" i="14"/>
  <c r="I159" i="14"/>
  <c r="J69" i="14"/>
  <c r="I166" i="14"/>
  <c r="J76" i="14"/>
  <c r="I177" i="14"/>
  <c r="J87" i="14"/>
  <c r="I161" i="14"/>
  <c r="J71" i="14"/>
  <c r="J86" i="14"/>
  <c r="I176" i="14"/>
  <c r="J70" i="14"/>
  <c r="I160" i="14"/>
  <c r="I171" i="14"/>
  <c r="J81" i="14"/>
  <c r="I155" i="14"/>
  <c r="J65" i="14"/>
  <c r="I178" i="14"/>
  <c r="J88" i="14"/>
  <c r="I162" i="14"/>
  <c r="J72" i="14"/>
  <c r="I173" i="14"/>
  <c r="J83" i="14"/>
  <c r="I157" i="14"/>
  <c r="J67" i="14"/>
  <c r="J82" i="14"/>
  <c r="I172" i="14"/>
  <c r="J66" i="14"/>
  <c r="I156" i="14"/>
  <c r="I167" i="14"/>
  <c r="J77" i="14"/>
  <c r="I292" i="14"/>
  <c r="J84" i="14"/>
  <c r="I174" i="14"/>
  <c r="I158" i="14"/>
  <c r="J68" i="14"/>
  <c r="I169" i="14"/>
  <c r="J79" i="14"/>
  <c r="I153" i="14"/>
  <c r="J63" i="14"/>
  <c r="J78" i="14"/>
  <c r="I168" i="14"/>
  <c r="I179" i="14"/>
  <c r="J89" i="14"/>
  <c r="I163" i="14"/>
  <c r="J73" i="14"/>
  <c r="J7" i="14"/>
  <c r="J111" i="14"/>
  <c r="K111" i="14" s="1"/>
  <c r="I291" i="14"/>
  <c r="I187" i="14"/>
  <c r="J187" i="14" s="1"/>
  <c r="K187" i="14" s="1"/>
  <c r="I287" i="14"/>
  <c r="I386" i="14"/>
  <c r="J8" i="14"/>
  <c r="I373" i="14"/>
  <c r="I282" i="14"/>
  <c r="I283" i="14"/>
  <c r="I374" i="14"/>
  <c r="I363" i="14"/>
  <c r="I278" i="14"/>
  <c r="J278" i="14" s="1"/>
  <c r="K278" i="14" s="1"/>
  <c r="I202" i="14"/>
  <c r="J202" i="14" s="1"/>
  <c r="K202" i="14" s="1"/>
  <c r="I197" i="14"/>
  <c r="J197" i="14" s="1"/>
  <c r="K197" i="14" s="1"/>
  <c r="I206" i="14"/>
  <c r="J3" i="14"/>
  <c r="J26" i="14"/>
  <c r="I183" i="14"/>
  <c r="I368" i="14"/>
  <c r="I382" i="14"/>
  <c r="I377" i="14"/>
  <c r="I389" i="14"/>
  <c r="I281" i="14"/>
  <c r="I366" i="14"/>
  <c r="I191" i="14"/>
  <c r="I186" i="14"/>
  <c r="J186" i="14" s="1"/>
  <c r="K186" i="14" s="1"/>
  <c r="J29" i="14"/>
  <c r="I384" i="14"/>
  <c r="I299" i="14"/>
  <c r="J101" i="14"/>
  <c r="K101" i="14" s="1"/>
  <c r="I196" i="14"/>
  <c r="J196" i="14" s="1"/>
  <c r="K196" i="14" s="1"/>
  <c r="I201" i="14"/>
  <c r="I284" i="14"/>
  <c r="I276" i="14"/>
  <c r="I367" i="14"/>
  <c r="I192" i="14"/>
  <c r="J192" i="14" s="1"/>
  <c r="K192" i="14" s="1"/>
  <c r="J14" i="14"/>
  <c r="J13" i="14"/>
  <c r="J21" i="14"/>
  <c r="J11" i="14"/>
  <c r="J6" i="14"/>
  <c r="I204" i="14"/>
  <c r="I294" i="14"/>
  <c r="I209" i="14"/>
  <c r="J16" i="14"/>
  <c r="I190" i="14"/>
  <c r="I194" i="14"/>
  <c r="J194" i="14" s="1"/>
  <c r="K194" i="14" s="1"/>
  <c r="I277" i="14"/>
  <c r="I372" i="14"/>
  <c r="J10" i="14"/>
  <c r="J24" i="14"/>
  <c r="J22" i="14"/>
  <c r="J12" i="14"/>
  <c r="I193" i="14"/>
  <c r="I280" i="14"/>
  <c r="I286" i="14"/>
  <c r="J100" i="14"/>
  <c r="K100" i="14" s="1"/>
  <c r="I376" i="14"/>
  <c r="I113" i="14"/>
  <c r="J23" i="14"/>
  <c r="I62" i="14"/>
  <c r="I364" i="14"/>
  <c r="I274" i="14"/>
  <c r="J274" i="14" s="1"/>
  <c r="K274" i="14" s="1"/>
  <c r="I290" i="14"/>
  <c r="J4" i="14"/>
  <c r="I375" i="14"/>
  <c r="I385" i="14"/>
  <c r="J25" i="14"/>
  <c r="J105" i="14"/>
  <c r="K105" i="14" s="1"/>
  <c r="I279" i="14"/>
  <c r="J15" i="14"/>
  <c r="I285" i="14"/>
  <c r="I295" i="14"/>
  <c r="I300" i="14"/>
  <c r="J30" i="14"/>
  <c r="I189" i="14"/>
  <c r="J189" i="14" s="1"/>
  <c r="K189" i="14" s="1"/>
  <c r="F122" i="13" a="1"/>
  <c r="F122" i="13" s="1"/>
  <c r="I205" i="14"/>
  <c r="J20" i="14"/>
  <c r="J94" i="14"/>
  <c r="K94" i="14" s="1"/>
  <c r="I380" i="14"/>
  <c r="I369" i="14"/>
  <c r="I210" i="14"/>
  <c r="J210" i="14" s="1"/>
  <c r="K210" i="14" s="1"/>
  <c r="J9" i="14"/>
  <c r="I200" i="14"/>
  <c r="J200" i="14" s="1"/>
  <c r="K200" i="14" s="1"/>
  <c r="I390" i="14"/>
  <c r="F32" i="13" a="1"/>
  <c r="F32" i="13" s="1"/>
  <c r="C2" i="24" s="1" a="1"/>
  <c r="C2" i="24" s="1"/>
  <c r="F62" i="13" a="1"/>
  <c r="F62" i="13" s="1"/>
  <c r="F92" i="13" a="1"/>
  <c r="F92" i="13" s="1"/>
  <c r="H2" i="14"/>
  <c r="I92" i="14"/>
  <c r="I31" i="14"/>
  <c r="I124" i="14"/>
  <c r="I147" i="14"/>
  <c r="I130" i="14"/>
  <c r="J57" i="14"/>
  <c r="I148" i="14"/>
  <c r="I143" i="14"/>
  <c r="I142" i="14"/>
  <c r="G421" i="14"/>
  <c r="H392" i="14" s="1"/>
  <c r="J2" i="14"/>
  <c r="J288" i="14"/>
  <c r="K288" i="14" s="1"/>
  <c r="J198" i="14"/>
  <c r="K198" i="14" s="1"/>
  <c r="J297" i="14"/>
  <c r="K297" i="14" s="1"/>
  <c r="G91" i="14"/>
  <c r="J292" i="14"/>
  <c r="K292" i="14" s="1"/>
  <c r="J388" i="14"/>
  <c r="K388" i="14" s="1"/>
  <c r="J298" i="14"/>
  <c r="K298" i="14" s="1"/>
  <c r="J53" i="14"/>
  <c r="J52" i="14"/>
  <c r="I149" i="14"/>
  <c r="I133" i="14"/>
  <c r="I144" i="14"/>
  <c r="I128" i="14"/>
  <c r="I139" i="14"/>
  <c r="I125" i="14"/>
  <c r="I138" i="14"/>
  <c r="I32" i="14"/>
  <c r="J32" i="14" s="1"/>
  <c r="G61" i="14"/>
  <c r="H27" i="3"/>
  <c r="J51" i="14"/>
  <c r="I141" i="14"/>
  <c r="I136" i="14"/>
  <c r="I131" i="14"/>
  <c r="I146" i="14"/>
  <c r="F24" i="3"/>
  <c r="G21" i="3"/>
  <c r="J365" i="14"/>
  <c r="K365" i="14" s="1"/>
  <c r="J34" i="14"/>
  <c r="I137" i="14"/>
  <c r="I132" i="14"/>
  <c r="I127" i="14"/>
  <c r="I126" i="14"/>
  <c r="F30" i="3"/>
  <c r="G29" i="3"/>
  <c r="H29" i="3" s="1"/>
  <c r="H17" i="14"/>
  <c r="H6" i="14"/>
  <c r="H3" i="14"/>
  <c r="H10" i="14"/>
  <c r="H25" i="14"/>
  <c r="H8" i="14"/>
  <c r="H30" i="14"/>
  <c r="H13" i="14"/>
  <c r="H16" i="14"/>
  <c r="H4" i="14"/>
  <c r="H20" i="14"/>
  <c r="H26" i="14"/>
  <c r="H24" i="14"/>
  <c r="H23" i="14"/>
  <c r="H7" i="14"/>
  <c r="H22" i="14"/>
  <c r="H29" i="14"/>
  <c r="H21" i="14"/>
  <c r="H28" i="14"/>
  <c r="H11" i="14"/>
  <c r="H19" i="14"/>
  <c r="H18" i="14"/>
  <c r="H12" i="14"/>
  <c r="H9" i="14"/>
  <c r="H15" i="14"/>
  <c r="H14" i="14"/>
  <c r="H27" i="14"/>
  <c r="H5" i="14"/>
  <c r="J188" i="14"/>
  <c r="K188" i="14" s="1"/>
  <c r="G331" i="14"/>
  <c r="H302" i="14" s="1"/>
  <c r="G241" i="14"/>
  <c r="H212" i="14" s="1"/>
  <c r="J41" i="14"/>
  <c r="J46" i="14"/>
  <c r="J42" i="14"/>
  <c r="I145" i="14"/>
  <c r="I129" i="14"/>
  <c r="I140" i="14"/>
  <c r="I123" i="14"/>
  <c r="I135" i="14"/>
  <c r="I150" i="14"/>
  <c r="I134" i="14"/>
  <c r="G301" i="14"/>
  <c r="H272" i="14" s="1"/>
  <c r="H384" i="14"/>
  <c r="H379" i="14"/>
  <c r="H389" i="14"/>
  <c r="H383" i="14"/>
  <c r="H364" i="14"/>
  <c r="H377" i="14"/>
  <c r="H378" i="14"/>
  <c r="H376" i="14"/>
  <c r="H381" i="14"/>
  <c r="H387" i="14"/>
  <c r="H390" i="14"/>
  <c r="H368" i="14"/>
  <c r="H380" i="14"/>
  <c r="H375" i="14"/>
  <c r="H385" i="14"/>
  <c r="H366" i="14"/>
  <c r="H365" i="14"/>
  <c r="H372" i="14"/>
  <c r="H386" i="14"/>
  <c r="H370" i="14"/>
  <c r="H382" i="14"/>
  <c r="H388" i="14"/>
  <c r="H369" i="14"/>
  <c r="H374" i="14"/>
  <c r="H363" i="14"/>
  <c r="H367" i="14"/>
  <c r="H373" i="14"/>
  <c r="H371" i="14"/>
  <c r="J195" i="14"/>
  <c r="K195" i="14" s="1"/>
  <c r="H133" i="14"/>
  <c r="H149" i="14"/>
  <c r="H126" i="14"/>
  <c r="H142" i="14"/>
  <c r="H131" i="14"/>
  <c r="H147" i="14"/>
  <c r="H124" i="14"/>
  <c r="H140" i="14"/>
  <c r="H125" i="14"/>
  <c r="H134" i="14"/>
  <c r="H139" i="14"/>
  <c r="H132" i="14"/>
  <c r="H129" i="14"/>
  <c r="H127" i="14"/>
  <c r="H136" i="14"/>
  <c r="H137" i="14"/>
  <c r="H130" i="14"/>
  <c r="H146" i="14"/>
  <c r="H135" i="14"/>
  <c r="H128" i="14"/>
  <c r="H144" i="14"/>
  <c r="H141" i="14"/>
  <c r="H150" i="14"/>
  <c r="H123" i="14"/>
  <c r="H148" i="14"/>
  <c r="H145" i="14"/>
  <c r="H138" i="14"/>
  <c r="H143" i="14"/>
  <c r="AS58" i="1"/>
  <c r="F15" i="3"/>
  <c r="H207" i="14"/>
  <c r="H191" i="14"/>
  <c r="H197" i="14"/>
  <c r="H201" i="14"/>
  <c r="H205" i="14"/>
  <c r="H199" i="14"/>
  <c r="H208" i="14"/>
  <c r="H193" i="14"/>
  <c r="H188" i="14"/>
  <c r="H200" i="14"/>
  <c r="H190" i="14"/>
  <c r="H202" i="14"/>
  <c r="H210" i="14"/>
  <c r="H184" i="14"/>
  <c r="H194" i="14"/>
  <c r="H192" i="14"/>
  <c r="H203" i="14"/>
  <c r="H198" i="14"/>
  <c r="H183" i="14"/>
  <c r="H185" i="14"/>
  <c r="H189" i="14"/>
  <c r="H209" i="14"/>
  <c r="H186" i="14"/>
  <c r="H195" i="14"/>
  <c r="H204" i="14"/>
  <c r="H206" i="14"/>
  <c r="H187" i="14"/>
  <c r="H196" i="14"/>
  <c r="H92" i="14"/>
  <c r="H102" i="14"/>
  <c r="H100" i="14"/>
  <c r="H108" i="14"/>
  <c r="H118" i="14"/>
  <c r="H112" i="14"/>
  <c r="H94" i="14"/>
  <c r="H116" i="14"/>
  <c r="H110" i="14"/>
  <c r="H120" i="14"/>
  <c r="H114" i="14"/>
  <c r="H109" i="14"/>
  <c r="H113" i="14"/>
  <c r="H117" i="14"/>
  <c r="H95" i="14"/>
  <c r="H106" i="14"/>
  <c r="H96" i="14"/>
  <c r="H104" i="14"/>
  <c r="H99" i="14"/>
  <c r="H101" i="14"/>
  <c r="H103" i="14"/>
  <c r="H111" i="14"/>
  <c r="H107" i="14"/>
  <c r="H119" i="14"/>
  <c r="H97" i="14"/>
  <c r="H105" i="14"/>
  <c r="H93" i="14"/>
  <c r="H98" i="14"/>
  <c r="H115" i="14"/>
  <c r="AS39" i="1"/>
  <c r="F11" i="3"/>
  <c r="G11" i="3" s="1"/>
  <c r="H11" i="3" s="1"/>
  <c r="G9" i="3"/>
  <c r="C37" i="3"/>
  <c r="C38" i="3"/>
  <c r="AS96" i="1"/>
  <c r="AS77" i="1"/>
  <c r="J379" i="14" l="1"/>
  <c r="K379" i="14" s="1"/>
  <c r="J387" i="14"/>
  <c r="K387" i="14" s="1"/>
  <c r="J296" i="14"/>
  <c r="K296" i="14" s="1"/>
  <c r="J199" i="14"/>
  <c r="K199" i="14" s="1"/>
  <c r="J275" i="14"/>
  <c r="K275" i="14" s="1"/>
  <c r="J381" i="14"/>
  <c r="K381" i="14" s="1"/>
  <c r="J206" i="14"/>
  <c r="K206" i="14" s="1"/>
  <c r="J277" i="14"/>
  <c r="K277" i="14" s="1"/>
  <c r="J368" i="14"/>
  <c r="K368" i="14" s="1"/>
  <c r="I433" i="14"/>
  <c r="J163" i="14"/>
  <c r="K163" i="14" s="1"/>
  <c r="I343" i="14"/>
  <c r="I253" i="14"/>
  <c r="J253" i="14" s="1"/>
  <c r="I349" i="14"/>
  <c r="I259" i="14"/>
  <c r="I439" i="14"/>
  <c r="J169" i="14"/>
  <c r="K169" i="14" s="1"/>
  <c r="I246" i="14"/>
  <c r="J246" i="14" s="1"/>
  <c r="I426" i="14"/>
  <c r="J156" i="14"/>
  <c r="K156" i="14" s="1"/>
  <c r="I336" i="14"/>
  <c r="I250" i="14"/>
  <c r="I340" i="14"/>
  <c r="I430" i="14"/>
  <c r="J160" i="14"/>
  <c r="K160" i="14" s="1"/>
  <c r="I152" i="14"/>
  <c r="J62" i="14"/>
  <c r="I337" i="14"/>
  <c r="I247" i="14"/>
  <c r="J247" i="14" s="1"/>
  <c r="I427" i="14"/>
  <c r="J157" i="14"/>
  <c r="K157" i="14" s="1"/>
  <c r="I432" i="14"/>
  <c r="J162" i="14"/>
  <c r="K162" i="14" s="1"/>
  <c r="I342" i="14"/>
  <c r="I252" i="14"/>
  <c r="I425" i="14"/>
  <c r="J155" i="14"/>
  <c r="K155" i="14" s="1"/>
  <c r="I245" i="14"/>
  <c r="J245" i="14" s="1"/>
  <c r="I335" i="14"/>
  <c r="I341" i="14"/>
  <c r="I251" i="14"/>
  <c r="J161" i="14"/>
  <c r="K161" i="14" s="1"/>
  <c r="I431" i="14"/>
  <c r="I436" i="14"/>
  <c r="J166" i="14"/>
  <c r="K166" i="14" s="1"/>
  <c r="I346" i="14"/>
  <c r="I256" i="14"/>
  <c r="J256" i="14" s="1"/>
  <c r="I445" i="14"/>
  <c r="J175" i="14"/>
  <c r="K175" i="14" s="1"/>
  <c r="I355" i="14"/>
  <c r="I265" i="14"/>
  <c r="J382" i="14"/>
  <c r="K382" i="14" s="1"/>
  <c r="I449" i="14"/>
  <c r="J179" i="14"/>
  <c r="K179" i="14" s="1"/>
  <c r="I359" i="14"/>
  <c r="I269" i="14"/>
  <c r="J269" i="14" s="1"/>
  <c r="I333" i="14"/>
  <c r="I243" i="14"/>
  <c r="J243" i="14" s="1"/>
  <c r="I423" i="14"/>
  <c r="J153" i="14"/>
  <c r="K153" i="14" s="1"/>
  <c r="I428" i="14"/>
  <c r="J158" i="14"/>
  <c r="K158" i="14" s="1"/>
  <c r="I338" i="14"/>
  <c r="I248" i="14"/>
  <c r="I262" i="14"/>
  <c r="J262" i="14" s="1"/>
  <c r="I442" i="14"/>
  <c r="J172" i="14"/>
  <c r="K172" i="14" s="1"/>
  <c r="I352" i="14"/>
  <c r="I266" i="14"/>
  <c r="J266" i="14" s="1"/>
  <c r="I446" i="14"/>
  <c r="I356" i="14"/>
  <c r="J176" i="14"/>
  <c r="K176" i="14" s="1"/>
  <c r="I254" i="14"/>
  <c r="I434" i="14"/>
  <c r="J164" i="14"/>
  <c r="K164" i="14" s="1"/>
  <c r="I344" i="14"/>
  <c r="I270" i="14"/>
  <c r="I450" i="14"/>
  <c r="J180" i="14"/>
  <c r="K180" i="14" s="1"/>
  <c r="I360" i="14"/>
  <c r="I440" i="14"/>
  <c r="J170" i="14"/>
  <c r="K170" i="14" s="1"/>
  <c r="I350" i="14"/>
  <c r="I260" i="14"/>
  <c r="J260" i="14" s="1"/>
  <c r="I258" i="14"/>
  <c r="J258" i="14" s="1"/>
  <c r="J168" i="14"/>
  <c r="K168" i="14" s="1"/>
  <c r="I348" i="14"/>
  <c r="I438" i="14"/>
  <c r="I444" i="14"/>
  <c r="J174" i="14"/>
  <c r="K174" i="14" s="1"/>
  <c r="I354" i="14"/>
  <c r="I264" i="14"/>
  <c r="I437" i="14"/>
  <c r="J167" i="14"/>
  <c r="K167" i="14" s="1"/>
  <c r="I347" i="14"/>
  <c r="I257" i="14"/>
  <c r="J257" i="14" s="1"/>
  <c r="I353" i="14"/>
  <c r="I263" i="14"/>
  <c r="I443" i="14"/>
  <c r="J173" i="14"/>
  <c r="K173" i="14" s="1"/>
  <c r="I448" i="14"/>
  <c r="J178" i="14"/>
  <c r="K178" i="14" s="1"/>
  <c r="I358" i="14"/>
  <c r="I268" i="14"/>
  <c r="J268" i="14" s="1"/>
  <c r="I441" i="14"/>
  <c r="J171" i="14"/>
  <c r="K171" i="14" s="1"/>
  <c r="I261" i="14"/>
  <c r="J261" i="14" s="1"/>
  <c r="I351" i="14"/>
  <c r="I357" i="14"/>
  <c r="I267" i="14"/>
  <c r="J177" i="14"/>
  <c r="K177" i="14" s="1"/>
  <c r="I447" i="14"/>
  <c r="I429" i="14"/>
  <c r="J159" i="14"/>
  <c r="K159" i="14" s="1"/>
  <c r="I339" i="14"/>
  <c r="I249" i="14"/>
  <c r="I181" i="14"/>
  <c r="J181" i="14" s="1"/>
  <c r="I424" i="14"/>
  <c r="J154" i="14"/>
  <c r="K154" i="14" s="1"/>
  <c r="I334" i="14"/>
  <c r="I244" i="14"/>
  <c r="J244" i="14" s="1"/>
  <c r="I345" i="14"/>
  <c r="I255" i="14"/>
  <c r="I435" i="14"/>
  <c r="J165" i="14"/>
  <c r="K165" i="14" s="1"/>
  <c r="J373" i="14"/>
  <c r="K373" i="14" s="1"/>
  <c r="J370" i="14"/>
  <c r="K370" i="14" s="1"/>
  <c r="J294" i="14"/>
  <c r="K294" i="14" s="1"/>
  <c r="J363" i="14"/>
  <c r="K363" i="14" s="1"/>
  <c r="J204" i="14"/>
  <c r="K204" i="14" s="1"/>
  <c r="J183" i="14"/>
  <c r="K183" i="14" s="1"/>
  <c r="J291" i="14"/>
  <c r="K291" i="14" s="1"/>
  <c r="J299" i="14"/>
  <c r="K299" i="14" s="1"/>
  <c r="J193" i="14"/>
  <c r="K193" i="14" s="1"/>
  <c r="J280" i="14"/>
  <c r="K280" i="14" s="1"/>
  <c r="J287" i="14"/>
  <c r="K287" i="14" s="1"/>
  <c r="J190" i="14"/>
  <c r="K190" i="14" s="1"/>
  <c r="J284" i="14"/>
  <c r="K284" i="14" s="1"/>
  <c r="J281" i="14"/>
  <c r="K281" i="14" s="1"/>
  <c r="J386" i="14"/>
  <c r="K386" i="14" s="1"/>
  <c r="J273" i="14"/>
  <c r="K273" i="14" s="1"/>
  <c r="J377" i="14"/>
  <c r="K377" i="14" s="1"/>
  <c r="J276" i="14"/>
  <c r="K276" i="14" s="1"/>
  <c r="J376" i="14"/>
  <c r="K376" i="14" s="1"/>
  <c r="J367" i="14"/>
  <c r="K367" i="14" s="1"/>
  <c r="J384" i="14"/>
  <c r="K384" i="14" s="1"/>
  <c r="J366" i="14"/>
  <c r="K366" i="14" s="1"/>
  <c r="J283" i="14"/>
  <c r="K283" i="14" s="1"/>
  <c r="J201" i="14"/>
  <c r="K201" i="14" s="1"/>
  <c r="J282" i="14"/>
  <c r="K282" i="14" s="1"/>
  <c r="J191" i="14"/>
  <c r="K191" i="14" s="1"/>
  <c r="J374" i="14"/>
  <c r="K374" i="14" s="1"/>
  <c r="J371" i="14"/>
  <c r="K371" i="14" s="1"/>
  <c r="J389" i="14"/>
  <c r="K389" i="14" s="1"/>
  <c r="J372" i="14"/>
  <c r="K372" i="14" s="1"/>
  <c r="J209" i="14"/>
  <c r="K209" i="14" s="1"/>
  <c r="J286" i="14"/>
  <c r="K286" i="14" s="1"/>
  <c r="H64" i="14"/>
  <c r="H80" i="14"/>
  <c r="H73" i="14"/>
  <c r="H89" i="14"/>
  <c r="H66" i="14"/>
  <c r="H82" i="14"/>
  <c r="H83" i="14"/>
  <c r="H79" i="14"/>
  <c r="H68" i="14"/>
  <c r="H84" i="14"/>
  <c r="H77" i="14"/>
  <c r="H70" i="14"/>
  <c r="H86" i="14"/>
  <c r="H71" i="14"/>
  <c r="H72" i="14"/>
  <c r="H88" i="14"/>
  <c r="H65" i="14"/>
  <c r="H81" i="14"/>
  <c r="H74" i="14"/>
  <c r="H90" i="14"/>
  <c r="H63" i="14"/>
  <c r="H87" i="14"/>
  <c r="H76" i="14"/>
  <c r="H69" i="14"/>
  <c r="H85" i="14"/>
  <c r="H78" i="14"/>
  <c r="H67" i="14"/>
  <c r="H75" i="14"/>
  <c r="J364" i="14"/>
  <c r="K364" i="14" s="1"/>
  <c r="H62" i="14"/>
  <c r="I293" i="14"/>
  <c r="I203" i="14"/>
  <c r="J113" i="14"/>
  <c r="K113" i="14" s="1"/>
  <c r="I383" i="14"/>
  <c r="J375" i="14"/>
  <c r="K375" i="14" s="1"/>
  <c r="G30" i="3"/>
  <c r="H30" i="3" s="1"/>
  <c r="J380" i="14"/>
  <c r="K380" i="14" s="1"/>
  <c r="J31" i="14"/>
  <c r="J290" i="14"/>
  <c r="K290" i="14" s="1"/>
  <c r="J285" i="14"/>
  <c r="K285" i="14" s="1"/>
  <c r="J369" i="14"/>
  <c r="K369" i="14" s="1"/>
  <c r="J385" i="14"/>
  <c r="K385" i="14" s="1"/>
  <c r="J390" i="14"/>
  <c r="K390" i="14" s="1"/>
  <c r="J295" i="14"/>
  <c r="K295" i="14" s="1"/>
  <c r="J205" i="14"/>
  <c r="K205" i="14" s="1"/>
  <c r="J300" i="14"/>
  <c r="K300" i="14" s="1"/>
  <c r="J279" i="14"/>
  <c r="K279" i="14" s="1"/>
  <c r="H391" i="14"/>
  <c r="H31" i="14"/>
  <c r="H34" i="14"/>
  <c r="H49" i="14"/>
  <c r="H35" i="14"/>
  <c r="H54" i="14"/>
  <c r="H42" i="14"/>
  <c r="H39" i="14"/>
  <c r="H43" i="14"/>
  <c r="H56" i="14"/>
  <c r="H45" i="14"/>
  <c r="H48" i="14"/>
  <c r="H40" i="14"/>
  <c r="H46" i="14"/>
  <c r="H58" i="14"/>
  <c r="H37" i="14"/>
  <c r="H50" i="14"/>
  <c r="H44" i="14"/>
  <c r="H51" i="14"/>
  <c r="H55" i="14"/>
  <c r="H41" i="14"/>
  <c r="H36" i="14"/>
  <c r="H47" i="14"/>
  <c r="H52" i="14"/>
  <c r="H53" i="14"/>
  <c r="H60" i="14"/>
  <c r="H57" i="14"/>
  <c r="H59" i="14"/>
  <c r="H33" i="14"/>
  <c r="H38" i="14"/>
  <c r="I233" i="14"/>
  <c r="I323" i="14"/>
  <c r="I413" i="14"/>
  <c r="J143" i="14"/>
  <c r="K143" i="14" s="1"/>
  <c r="I225" i="14"/>
  <c r="I315" i="14"/>
  <c r="I405" i="14"/>
  <c r="J135" i="14"/>
  <c r="K135" i="14" s="1"/>
  <c r="I234" i="14"/>
  <c r="I414" i="14"/>
  <c r="I324" i="14"/>
  <c r="J144" i="14"/>
  <c r="K144" i="14" s="1"/>
  <c r="I310" i="14"/>
  <c r="I220" i="14"/>
  <c r="I400" i="14"/>
  <c r="J130" i="14"/>
  <c r="K130" i="14" s="1"/>
  <c r="H281" i="14"/>
  <c r="H286" i="14"/>
  <c r="H289" i="14"/>
  <c r="H290" i="14"/>
  <c r="H293" i="14"/>
  <c r="H297" i="14"/>
  <c r="H273" i="14"/>
  <c r="H296" i="14"/>
  <c r="H276" i="14"/>
  <c r="H291" i="14"/>
  <c r="H295" i="14"/>
  <c r="H274" i="14"/>
  <c r="H300" i="14"/>
  <c r="H285" i="14"/>
  <c r="H282" i="14"/>
  <c r="H279" i="14"/>
  <c r="H275" i="14"/>
  <c r="H283" i="14"/>
  <c r="H280" i="14"/>
  <c r="H299" i="14"/>
  <c r="H294" i="14"/>
  <c r="H298" i="14"/>
  <c r="H288" i="14"/>
  <c r="H277" i="14"/>
  <c r="H292" i="14"/>
  <c r="H284" i="14"/>
  <c r="H287" i="14"/>
  <c r="H278" i="14"/>
  <c r="I235" i="14"/>
  <c r="J235" i="14" s="1"/>
  <c r="K235" i="14" s="1"/>
  <c r="I415" i="14"/>
  <c r="I325" i="14"/>
  <c r="J145" i="14"/>
  <c r="K145" i="14" s="1"/>
  <c r="H361" i="14"/>
  <c r="I216" i="14"/>
  <c r="I306" i="14"/>
  <c r="I396" i="14"/>
  <c r="J126" i="14"/>
  <c r="K126" i="14" s="1"/>
  <c r="I312" i="14"/>
  <c r="I402" i="14"/>
  <c r="I222" i="14"/>
  <c r="J132" i="14"/>
  <c r="K132" i="14" s="1"/>
  <c r="G24" i="3"/>
  <c r="H24" i="3" s="1"/>
  <c r="H21" i="3"/>
  <c r="I416" i="14"/>
  <c r="I326" i="14"/>
  <c r="I236" i="14"/>
  <c r="J236" i="14" s="1"/>
  <c r="K236" i="14" s="1"/>
  <c r="J146" i="14"/>
  <c r="K146" i="14" s="1"/>
  <c r="I226" i="14"/>
  <c r="I406" i="14"/>
  <c r="I316" i="14"/>
  <c r="J136" i="14"/>
  <c r="K136" i="14" s="1"/>
  <c r="H32" i="14"/>
  <c r="I322" i="14"/>
  <c r="I232" i="14"/>
  <c r="J232" i="14" s="1"/>
  <c r="K232" i="14" s="1"/>
  <c r="I412" i="14"/>
  <c r="J142" i="14"/>
  <c r="K142" i="14" s="1"/>
  <c r="I328" i="14"/>
  <c r="I418" i="14"/>
  <c r="I238" i="14"/>
  <c r="J238" i="14" s="1"/>
  <c r="K238" i="14" s="1"/>
  <c r="J148" i="14"/>
  <c r="K148" i="14" s="1"/>
  <c r="I314" i="14"/>
  <c r="I404" i="14"/>
  <c r="I224" i="14"/>
  <c r="J224" i="14" s="1"/>
  <c r="K224" i="14" s="1"/>
  <c r="J134" i="14"/>
  <c r="K134" i="14" s="1"/>
  <c r="I397" i="14"/>
  <c r="I217" i="14"/>
  <c r="J217" i="14" s="1"/>
  <c r="K217" i="14" s="1"/>
  <c r="I307" i="14"/>
  <c r="J127" i="14"/>
  <c r="K127" i="14" s="1"/>
  <c r="I317" i="14"/>
  <c r="I407" i="14"/>
  <c r="I227" i="14"/>
  <c r="J227" i="14" s="1"/>
  <c r="K227" i="14" s="1"/>
  <c r="J137" i="14"/>
  <c r="K137" i="14" s="1"/>
  <c r="I311" i="14"/>
  <c r="I221" i="14"/>
  <c r="I401" i="14"/>
  <c r="J131" i="14"/>
  <c r="K131" i="14" s="1"/>
  <c r="I321" i="14"/>
  <c r="I231" i="14"/>
  <c r="J231" i="14" s="1"/>
  <c r="K231" i="14" s="1"/>
  <c r="I411" i="14"/>
  <c r="J141" i="14"/>
  <c r="K141" i="14" s="1"/>
  <c r="I320" i="14"/>
  <c r="I410" i="14"/>
  <c r="I230" i="14"/>
  <c r="J230" i="14" s="1"/>
  <c r="K230" i="14" s="1"/>
  <c r="J140" i="14"/>
  <c r="K140" i="14" s="1"/>
  <c r="H233" i="14"/>
  <c r="H240" i="14"/>
  <c r="H235" i="14"/>
  <c r="H237" i="14"/>
  <c r="H218" i="14"/>
  <c r="H229" i="14"/>
  <c r="H234" i="14"/>
  <c r="H222" i="14"/>
  <c r="H225" i="14"/>
  <c r="H216" i="14"/>
  <c r="H236" i="14"/>
  <c r="H219" i="14"/>
  <c r="H232" i="14"/>
  <c r="H231" i="14"/>
  <c r="H223" i="14"/>
  <c r="H213" i="14"/>
  <c r="H221" i="14"/>
  <c r="H228" i="14"/>
  <c r="H214" i="14"/>
  <c r="H215" i="14"/>
  <c r="H224" i="14"/>
  <c r="H239" i="14"/>
  <c r="H238" i="14"/>
  <c r="H227" i="14"/>
  <c r="H226" i="14"/>
  <c r="H230" i="14"/>
  <c r="H220" i="14"/>
  <c r="H217" i="14"/>
  <c r="H311" i="14"/>
  <c r="H321" i="14"/>
  <c r="H317" i="14"/>
  <c r="H328" i="14"/>
  <c r="H314" i="14"/>
  <c r="H307" i="14"/>
  <c r="H305" i="14"/>
  <c r="H322" i="14"/>
  <c r="H316" i="14"/>
  <c r="H303" i="14"/>
  <c r="H324" i="14"/>
  <c r="H309" i="14"/>
  <c r="H312" i="14"/>
  <c r="H313" i="14"/>
  <c r="H326" i="14"/>
  <c r="H318" i="14"/>
  <c r="H306" i="14"/>
  <c r="H327" i="14"/>
  <c r="H330" i="14"/>
  <c r="H308" i="14"/>
  <c r="H315" i="14"/>
  <c r="H319" i="14"/>
  <c r="H323" i="14"/>
  <c r="H310" i="14"/>
  <c r="H320" i="14"/>
  <c r="H304" i="14"/>
  <c r="H329" i="14"/>
  <c r="H325" i="14"/>
  <c r="H271" i="14"/>
  <c r="H451" i="14"/>
  <c r="J61" i="14"/>
  <c r="I228" i="14"/>
  <c r="I408" i="14"/>
  <c r="I318" i="14"/>
  <c r="J138" i="14"/>
  <c r="K138" i="14" s="1"/>
  <c r="I229" i="14"/>
  <c r="I319" i="14"/>
  <c r="I409" i="14"/>
  <c r="J139" i="14"/>
  <c r="K139" i="14" s="1"/>
  <c r="I239" i="14"/>
  <c r="J239" i="14" s="1"/>
  <c r="K239" i="14" s="1"/>
  <c r="I329" i="14"/>
  <c r="I419" i="14"/>
  <c r="J149" i="14"/>
  <c r="K149" i="14" s="1"/>
  <c r="I304" i="14"/>
  <c r="I214" i="14"/>
  <c r="J214" i="14" s="1"/>
  <c r="K214" i="14" s="1"/>
  <c r="I394" i="14"/>
  <c r="J124" i="14"/>
  <c r="K124" i="14" s="1"/>
  <c r="I420" i="14"/>
  <c r="I330" i="14"/>
  <c r="I240" i="14"/>
  <c r="J150" i="14"/>
  <c r="K150" i="14" s="1"/>
  <c r="I213" i="14"/>
  <c r="I303" i="14"/>
  <c r="I393" i="14"/>
  <c r="J123" i="14"/>
  <c r="K123" i="14" s="1"/>
  <c r="I399" i="14"/>
  <c r="I309" i="14"/>
  <c r="I219" i="14"/>
  <c r="J219" i="14" s="1"/>
  <c r="K219" i="14" s="1"/>
  <c r="J129" i="14"/>
  <c r="K129" i="14" s="1"/>
  <c r="H181" i="14"/>
  <c r="I122" i="14"/>
  <c r="I61" i="14"/>
  <c r="I91" i="14"/>
  <c r="I215" i="14"/>
  <c r="I395" i="14"/>
  <c r="I305" i="14"/>
  <c r="J125" i="14"/>
  <c r="K125" i="14" s="1"/>
  <c r="I398" i="14"/>
  <c r="I218" i="14"/>
  <c r="J218" i="14" s="1"/>
  <c r="K218" i="14" s="1"/>
  <c r="I308" i="14"/>
  <c r="J128" i="14"/>
  <c r="K128" i="14" s="1"/>
  <c r="I223" i="14"/>
  <c r="J223" i="14" s="1"/>
  <c r="K223" i="14" s="1"/>
  <c r="I403" i="14"/>
  <c r="I313" i="14"/>
  <c r="J133" i="14"/>
  <c r="K133" i="14" s="1"/>
  <c r="H413" i="14"/>
  <c r="H415" i="14"/>
  <c r="H395" i="14"/>
  <c r="H400" i="14"/>
  <c r="H411" i="14"/>
  <c r="H404" i="14"/>
  <c r="H412" i="14"/>
  <c r="H397" i="14"/>
  <c r="H414" i="14"/>
  <c r="H409" i="14"/>
  <c r="H407" i="14"/>
  <c r="H417" i="14"/>
  <c r="H396" i="14"/>
  <c r="H399" i="14"/>
  <c r="H403" i="14"/>
  <c r="H416" i="14"/>
  <c r="H394" i="14"/>
  <c r="H408" i="14"/>
  <c r="H402" i="14"/>
  <c r="H406" i="14"/>
  <c r="H419" i="14"/>
  <c r="H398" i="14"/>
  <c r="H393" i="14"/>
  <c r="H410" i="14"/>
  <c r="H401" i="14"/>
  <c r="H418" i="14"/>
  <c r="H405" i="14"/>
  <c r="H420" i="14"/>
  <c r="I417" i="14"/>
  <c r="I237" i="14"/>
  <c r="J237" i="14" s="1"/>
  <c r="K237" i="14" s="1"/>
  <c r="I327" i="14"/>
  <c r="J147" i="14"/>
  <c r="K147" i="14" s="1"/>
  <c r="I121" i="14"/>
  <c r="I272" i="14"/>
  <c r="I182" i="14"/>
  <c r="I362" i="14"/>
  <c r="J92" i="14"/>
  <c r="K92" i="14" s="1"/>
  <c r="H151" i="14"/>
  <c r="H211" i="14"/>
  <c r="G15" i="3"/>
  <c r="F18" i="3"/>
  <c r="H121" i="14"/>
  <c r="F12" i="3"/>
  <c r="G12" i="3"/>
  <c r="H9" i="3"/>
  <c r="C5" i="3"/>
  <c r="C39" i="3"/>
  <c r="J350" i="14" l="1"/>
  <c r="J359" i="14"/>
  <c r="J355" i="14"/>
  <c r="K355" i="14" s="1"/>
  <c r="J335" i="14"/>
  <c r="J342" i="14"/>
  <c r="K342" i="14" s="1"/>
  <c r="J349" i="14"/>
  <c r="J354" i="14"/>
  <c r="J429" i="14"/>
  <c r="K429" i="14" s="1"/>
  <c r="J360" i="14"/>
  <c r="K360" i="14" s="1"/>
  <c r="J447" i="14"/>
  <c r="K447" i="14" s="1"/>
  <c r="J352" i="14"/>
  <c r="K352" i="14" s="1"/>
  <c r="J428" i="14"/>
  <c r="K428" i="14" s="1"/>
  <c r="J430" i="14"/>
  <c r="K430" i="14" s="1"/>
  <c r="J435" i="14"/>
  <c r="K435" i="14" s="1"/>
  <c r="J446" i="14"/>
  <c r="K446" i="14" s="1"/>
  <c r="J345" i="14"/>
  <c r="K345" i="14" s="1"/>
  <c r="J249" i="14"/>
  <c r="K249" i="14" s="1"/>
  <c r="J267" i="14"/>
  <c r="K267" i="14" s="1"/>
  <c r="J351" i="14"/>
  <c r="J438" i="14"/>
  <c r="K438" i="14" s="1"/>
  <c r="J434" i="14"/>
  <c r="K434" i="14" s="1"/>
  <c r="J442" i="14"/>
  <c r="K442" i="14" s="1"/>
  <c r="J425" i="14"/>
  <c r="J337" i="14"/>
  <c r="K337" i="14" s="1"/>
  <c r="J336" i="14"/>
  <c r="K336" i="14" s="1"/>
  <c r="J334" i="14"/>
  <c r="K334" i="14" s="1"/>
  <c r="J333" i="14"/>
  <c r="K333" i="14" s="1"/>
  <c r="J339" i="14"/>
  <c r="K339" i="14" s="1"/>
  <c r="J357" i="14"/>
  <c r="K357" i="14" s="1"/>
  <c r="J353" i="14"/>
  <c r="K353" i="14" s="1"/>
  <c r="J338" i="14"/>
  <c r="K338" i="14" s="1"/>
  <c r="J449" i="14"/>
  <c r="K449" i="14" s="1"/>
  <c r="J341" i="14"/>
  <c r="K341" i="14" s="1"/>
  <c r="J427" i="14"/>
  <c r="K427" i="14" s="1"/>
  <c r="J426" i="14"/>
  <c r="J439" i="14"/>
  <c r="K439" i="14" s="1"/>
  <c r="J440" i="14"/>
  <c r="K440" i="14" s="1"/>
  <c r="J431" i="14"/>
  <c r="K431" i="14" s="1"/>
  <c r="K349" i="14"/>
  <c r="K354" i="14"/>
  <c r="J448" i="14"/>
  <c r="K448" i="14" s="1"/>
  <c r="J348" i="14"/>
  <c r="K348" i="14" s="1"/>
  <c r="J254" i="14"/>
  <c r="K254" i="14" s="1"/>
  <c r="J356" i="14"/>
  <c r="K356" i="14" s="1"/>
  <c r="J436" i="14"/>
  <c r="K436" i="14" s="1"/>
  <c r="J251" i="14"/>
  <c r="K251" i="14" s="1"/>
  <c r="J252" i="14"/>
  <c r="K252" i="14" s="1"/>
  <c r="J250" i="14"/>
  <c r="K250" i="14" s="1"/>
  <c r="J259" i="14"/>
  <c r="K259" i="14" s="1"/>
  <c r="J255" i="14"/>
  <c r="K255" i="14" s="1"/>
  <c r="J441" i="14"/>
  <c r="K441" i="14" s="1"/>
  <c r="J358" i="14"/>
  <c r="K358" i="14" s="1"/>
  <c r="J347" i="14"/>
  <c r="K347" i="14" s="1"/>
  <c r="J437" i="14"/>
  <c r="K437" i="14" s="1"/>
  <c r="J444" i="14"/>
  <c r="K444" i="14" s="1"/>
  <c r="J450" i="14"/>
  <c r="K450" i="14" s="1"/>
  <c r="J270" i="14"/>
  <c r="K270" i="14" s="1"/>
  <c r="J344" i="14"/>
  <c r="K344" i="14" s="1"/>
  <c r="J248" i="14"/>
  <c r="K248" i="14" s="1"/>
  <c r="J423" i="14"/>
  <c r="K423" i="14" s="1"/>
  <c r="J445" i="14"/>
  <c r="K445" i="14" s="1"/>
  <c r="J346" i="14"/>
  <c r="K346" i="14" s="1"/>
  <c r="J432" i="14"/>
  <c r="K432" i="14" s="1"/>
  <c r="J340" i="14"/>
  <c r="K340" i="14" s="1"/>
  <c r="J343" i="14"/>
  <c r="K343" i="14" s="1"/>
  <c r="J433" i="14"/>
  <c r="K433" i="14" s="1"/>
  <c r="J424" i="14"/>
  <c r="K424" i="14" s="1"/>
  <c r="J443" i="14"/>
  <c r="K443" i="14" s="1"/>
  <c r="K426" i="14"/>
  <c r="J263" i="14"/>
  <c r="K263" i="14" s="1"/>
  <c r="J264" i="14"/>
  <c r="K264" i="14" s="1"/>
  <c r="J265" i="14"/>
  <c r="K265" i="14" s="1"/>
  <c r="K425" i="14"/>
  <c r="I332" i="14"/>
  <c r="I242" i="14"/>
  <c r="J152" i="14"/>
  <c r="I422" i="14"/>
  <c r="H91" i="14"/>
  <c r="J310" i="14"/>
  <c r="K310" i="14" s="1"/>
  <c r="I211" i="14"/>
  <c r="J211" i="14" s="1"/>
  <c r="K211" i="14" s="1"/>
  <c r="I301" i="14"/>
  <c r="I391" i="14"/>
  <c r="J383" i="14"/>
  <c r="K383" i="14" s="1"/>
  <c r="J203" i="14"/>
  <c r="K203" i="14" s="1"/>
  <c r="J293" i="14"/>
  <c r="K293" i="14" s="1"/>
  <c r="J182" i="14"/>
  <c r="K182" i="14" s="1"/>
  <c r="J305" i="14"/>
  <c r="K305" i="14" s="1"/>
  <c r="J91" i="14"/>
  <c r="J326" i="14"/>
  <c r="K326" i="14" s="1"/>
  <c r="J321" i="14"/>
  <c r="K321" i="14" s="1"/>
  <c r="J220" i="14"/>
  <c r="K220" i="14" s="1"/>
  <c r="J413" i="14"/>
  <c r="K413" i="14" s="1"/>
  <c r="J362" i="14"/>
  <c r="K362" i="14" s="1"/>
  <c r="J215" i="14"/>
  <c r="K215" i="14" s="1"/>
  <c r="J307" i="14"/>
  <c r="K307" i="14" s="1"/>
  <c r="J318" i="14"/>
  <c r="K318" i="14" s="1"/>
  <c r="J316" i="14"/>
  <c r="K316" i="14" s="1"/>
  <c r="J272" i="14"/>
  <c r="K272" i="14" s="1"/>
  <c r="J327" i="14"/>
  <c r="K327" i="14" s="1"/>
  <c r="H241" i="14"/>
  <c r="H301" i="14"/>
  <c r="J323" i="14"/>
  <c r="K323" i="14" s="1"/>
  <c r="H421" i="14"/>
  <c r="H331" i="14"/>
  <c r="J402" i="14"/>
  <c r="K402" i="14" s="1"/>
  <c r="J121" i="14"/>
  <c r="K121" i="14" s="1"/>
  <c r="J417" i="14"/>
  <c r="K417" i="14" s="1"/>
  <c r="J303" i="14"/>
  <c r="K303" i="14" s="1"/>
  <c r="K243" i="14"/>
  <c r="J229" i="14"/>
  <c r="K229" i="14" s="1"/>
  <c r="K258" i="14"/>
  <c r="J320" i="14"/>
  <c r="K320" i="14" s="1"/>
  <c r="K260" i="14"/>
  <c r="J317" i="14"/>
  <c r="K317" i="14" s="1"/>
  <c r="J322" i="14"/>
  <c r="K322" i="14" s="1"/>
  <c r="J399" i="14"/>
  <c r="K399" i="14" s="1"/>
  <c r="J393" i="14"/>
  <c r="K393" i="14" s="1"/>
  <c r="J319" i="14"/>
  <c r="K319" i="14" s="1"/>
  <c r="J311" i="14"/>
  <c r="K311" i="14" s="1"/>
  <c r="J418" i="14"/>
  <c r="K418" i="14" s="1"/>
  <c r="J308" i="14"/>
  <c r="K308" i="14" s="1"/>
  <c r="J213" i="14"/>
  <c r="K213" i="14" s="1"/>
  <c r="J420" i="14"/>
  <c r="K420" i="14" s="1"/>
  <c r="J330" i="14"/>
  <c r="K330" i="14" s="1"/>
  <c r="J304" i="14"/>
  <c r="K304" i="14" s="1"/>
  <c r="J394" i="14"/>
  <c r="K394" i="14" s="1"/>
  <c r="J409" i="14"/>
  <c r="K409" i="14" s="1"/>
  <c r="J408" i="14"/>
  <c r="K408" i="14" s="1"/>
  <c r="J410" i="14"/>
  <c r="K410" i="14" s="1"/>
  <c r="K350" i="14"/>
  <c r="J221" i="14"/>
  <c r="K221" i="14" s="1"/>
  <c r="K257" i="14"/>
  <c r="J397" i="14"/>
  <c r="K397" i="14" s="1"/>
  <c r="J314" i="14"/>
  <c r="K314" i="14" s="1"/>
  <c r="J412" i="14"/>
  <c r="K412" i="14" s="1"/>
  <c r="J406" i="14"/>
  <c r="K406" i="14" s="1"/>
  <c r="K266" i="14"/>
  <c r="J306" i="14"/>
  <c r="K306" i="14" s="1"/>
  <c r="K246" i="14"/>
  <c r="J415" i="14"/>
  <c r="K415" i="14" s="1"/>
  <c r="J405" i="14"/>
  <c r="K405" i="14" s="1"/>
  <c r="J315" i="14"/>
  <c r="K315" i="14" s="1"/>
  <c r="F151" i="13"/>
  <c r="G122" i="13" s="1"/>
  <c r="K269" i="14"/>
  <c r="J411" i="14"/>
  <c r="K411" i="14" s="1"/>
  <c r="K351" i="14"/>
  <c r="J222" i="14"/>
  <c r="K222" i="14" s="1"/>
  <c r="J234" i="14"/>
  <c r="K234" i="14" s="1"/>
  <c r="J403" i="14"/>
  <c r="K403" i="14" s="1"/>
  <c r="J395" i="14"/>
  <c r="K395" i="14" s="1"/>
  <c r="K335" i="14"/>
  <c r="J419" i="14"/>
  <c r="K419" i="14" s="1"/>
  <c r="J416" i="14"/>
  <c r="K416" i="14" s="1"/>
  <c r="J396" i="14"/>
  <c r="K396" i="14" s="1"/>
  <c r="J324" i="14"/>
  <c r="K324" i="14" s="1"/>
  <c r="F121" i="13"/>
  <c r="G92" i="13" s="1"/>
  <c r="J313" i="14"/>
  <c r="K313" i="14" s="1"/>
  <c r="K253" i="14"/>
  <c r="J398" i="14"/>
  <c r="K398" i="14" s="1"/>
  <c r="K245" i="14"/>
  <c r="I392" i="14"/>
  <c r="I212" i="14"/>
  <c r="I302" i="14"/>
  <c r="I151" i="14"/>
  <c r="J122" i="14"/>
  <c r="K122" i="14" s="1"/>
  <c r="J309" i="14"/>
  <c r="K309" i="14" s="1"/>
  <c r="J240" i="14"/>
  <c r="K240" i="14" s="1"/>
  <c r="K244" i="14"/>
  <c r="J329" i="14"/>
  <c r="K329" i="14" s="1"/>
  <c r="K359" i="14"/>
  <c r="J228" i="14"/>
  <c r="K228" i="14" s="1"/>
  <c r="K261" i="14"/>
  <c r="J401" i="14"/>
  <c r="K401" i="14" s="1"/>
  <c r="J407" i="14"/>
  <c r="K407" i="14" s="1"/>
  <c r="K247" i="14"/>
  <c r="J404" i="14"/>
  <c r="K404" i="14" s="1"/>
  <c r="J328" i="14"/>
  <c r="K328" i="14" s="1"/>
  <c r="K268" i="14"/>
  <c r="K262" i="14"/>
  <c r="H61" i="14"/>
  <c r="J226" i="14"/>
  <c r="K226" i="14" s="1"/>
  <c r="K256" i="14"/>
  <c r="J312" i="14"/>
  <c r="K312" i="14" s="1"/>
  <c r="J216" i="14"/>
  <c r="K216" i="14" s="1"/>
  <c r="J325" i="14"/>
  <c r="K325" i="14" s="1"/>
  <c r="J400" i="14"/>
  <c r="K400" i="14" s="1"/>
  <c r="J414" i="14"/>
  <c r="K414" i="14" s="1"/>
  <c r="J225" i="14"/>
  <c r="K225" i="14" s="1"/>
  <c r="J233" i="14"/>
  <c r="K233" i="14" s="1"/>
  <c r="F91" i="13"/>
  <c r="G18" i="3"/>
  <c r="H18" i="3" s="1"/>
  <c r="H15" i="3"/>
  <c r="H12" i="3"/>
  <c r="C6" i="3"/>
  <c r="F61" i="13"/>
  <c r="J332" i="14" l="1"/>
  <c r="J422" i="14"/>
  <c r="J242" i="14"/>
  <c r="J391" i="14"/>
  <c r="K391" i="14" s="1"/>
  <c r="J301" i="14"/>
  <c r="K301" i="14" s="1"/>
  <c r="K152" i="14"/>
  <c r="I271" i="14"/>
  <c r="I241" i="14"/>
  <c r="J241" i="14" s="1"/>
  <c r="K241" i="14" s="1"/>
  <c r="J212" i="14"/>
  <c r="K212" i="14" s="1"/>
  <c r="I451" i="14"/>
  <c r="I421" i="14"/>
  <c r="J151" i="14"/>
  <c r="K151" i="14" s="1"/>
  <c r="J302" i="14"/>
  <c r="K302" i="14" s="1"/>
  <c r="J392" i="14"/>
  <c r="K392" i="14" s="1"/>
  <c r="I361" i="14"/>
  <c r="I331" i="14"/>
  <c r="J331" i="14" s="1"/>
  <c r="K331" i="14" s="1"/>
  <c r="G101" i="13"/>
  <c r="G117" i="13"/>
  <c r="G106" i="13"/>
  <c r="G95" i="13"/>
  <c r="G111" i="13"/>
  <c r="G112" i="13"/>
  <c r="G104" i="13"/>
  <c r="G109" i="13"/>
  <c r="G103" i="13"/>
  <c r="G102" i="13"/>
  <c r="G96" i="13"/>
  <c r="G105" i="13"/>
  <c r="G94" i="13"/>
  <c r="G110" i="13"/>
  <c r="G99" i="13"/>
  <c r="G115" i="13"/>
  <c r="G108" i="13"/>
  <c r="G120" i="13"/>
  <c r="G93" i="13"/>
  <c r="G98" i="13"/>
  <c r="G114" i="13"/>
  <c r="G119" i="13"/>
  <c r="G100" i="13"/>
  <c r="G97" i="13"/>
  <c r="G113" i="13"/>
  <c r="G118" i="13"/>
  <c r="G107" i="13"/>
  <c r="G116" i="13"/>
  <c r="G128" i="13"/>
  <c r="G144" i="13"/>
  <c r="G133" i="13"/>
  <c r="G149" i="13"/>
  <c r="G138" i="13"/>
  <c r="G123" i="13"/>
  <c r="G143" i="13"/>
  <c r="G136" i="13"/>
  <c r="G125" i="13"/>
  <c r="G130" i="13"/>
  <c r="G146" i="13"/>
  <c r="G147" i="13"/>
  <c r="G124" i="13"/>
  <c r="G129" i="13"/>
  <c r="G145" i="13"/>
  <c r="G150" i="13"/>
  <c r="G132" i="13"/>
  <c r="G148" i="13"/>
  <c r="G137" i="13"/>
  <c r="G126" i="13"/>
  <c r="G142" i="13"/>
  <c r="G139" i="13"/>
  <c r="G131" i="13"/>
  <c r="G141" i="13"/>
  <c r="G135" i="13"/>
  <c r="G140" i="13"/>
  <c r="G134" i="13"/>
  <c r="G127" i="13"/>
  <c r="G63" i="13"/>
  <c r="G79" i="13"/>
  <c r="G68" i="13"/>
  <c r="G84" i="13"/>
  <c r="G73" i="13"/>
  <c r="G89" i="13"/>
  <c r="G74" i="13"/>
  <c r="G88" i="13"/>
  <c r="G78" i="13"/>
  <c r="G76" i="13"/>
  <c r="G81" i="13"/>
  <c r="G67" i="13"/>
  <c r="G83" i="13"/>
  <c r="G72" i="13"/>
  <c r="G77" i="13"/>
  <c r="G90" i="13"/>
  <c r="G66" i="13"/>
  <c r="G71" i="13"/>
  <c r="G87" i="13"/>
  <c r="G65" i="13"/>
  <c r="G82" i="13"/>
  <c r="G75" i="13"/>
  <c r="G64" i="13"/>
  <c r="G80" i="13"/>
  <c r="G69" i="13"/>
  <c r="G85" i="13"/>
  <c r="G70" i="13"/>
  <c r="G86" i="13"/>
  <c r="G62" i="13"/>
  <c r="G35" i="13"/>
  <c r="G51" i="13"/>
  <c r="G40" i="13"/>
  <c r="G56" i="13"/>
  <c r="G41" i="13"/>
  <c r="G57" i="13"/>
  <c r="G46" i="13"/>
  <c r="G39" i="13"/>
  <c r="G55" i="13"/>
  <c r="G44" i="13"/>
  <c r="G60" i="13"/>
  <c r="G45" i="13"/>
  <c r="G34" i="13"/>
  <c r="G50" i="13"/>
  <c r="G53" i="13"/>
  <c r="G58" i="13"/>
  <c r="G43" i="13"/>
  <c r="G59" i="13"/>
  <c r="G48" i="13"/>
  <c r="G33" i="13"/>
  <c r="G49" i="13"/>
  <c r="G38" i="13"/>
  <c r="G54" i="13"/>
  <c r="G47" i="13"/>
  <c r="G36" i="13"/>
  <c r="G52" i="13"/>
  <c r="G37" i="13"/>
  <c r="G42" i="13"/>
  <c r="G32" i="13"/>
  <c r="T20" i="1"/>
  <c r="AQ20" i="1"/>
  <c r="AM20" i="1"/>
  <c r="AI20" i="1"/>
  <c r="AE20" i="1"/>
  <c r="W20" i="1"/>
  <c r="S20" i="1"/>
  <c r="P20" i="1"/>
  <c r="Q20" i="1"/>
  <c r="R20" i="1"/>
  <c r="AA20" i="1"/>
  <c r="AS19" i="1"/>
  <c r="F5" i="3" s="1"/>
  <c r="G5" i="3" s="1"/>
  <c r="H5" i="3" s="1"/>
  <c r="AP20" i="1"/>
  <c r="AL20" i="1"/>
  <c r="AH20" i="1"/>
  <c r="AD20" i="1"/>
  <c r="Z20" i="1"/>
  <c r="V20" i="1"/>
  <c r="AS7" i="1"/>
  <c r="F3" i="3" s="1"/>
  <c r="AS13" i="1"/>
  <c r="F4" i="3" s="1"/>
  <c r="G4" i="3" s="1"/>
  <c r="H4" i="3" s="1"/>
  <c r="AR20" i="1"/>
  <c r="AN20" i="1"/>
  <c r="AJ20" i="1"/>
  <c r="AF20" i="1"/>
  <c r="AB20" i="1"/>
  <c r="X20" i="1"/>
  <c r="AO20" i="1"/>
  <c r="AK20" i="1"/>
  <c r="AG20" i="1"/>
  <c r="AC20" i="1"/>
  <c r="Y20" i="1"/>
  <c r="U20" i="1"/>
  <c r="K181" i="14" l="1"/>
  <c r="F2" i="13" a="1"/>
  <c r="G3" i="3"/>
  <c r="F6" i="3"/>
  <c r="J421" i="14"/>
  <c r="K421" i="14" s="1"/>
  <c r="AS20" i="1"/>
  <c r="F2" i="13" l="1"/>
  <c r="H2" i="13" s="1"/>
  <c r="H6" i="13"/>
  <c r="H10" i="13"/>
  <c r="H14" i="13"/>
  <c r="H18" i="13"/>
  <c r="H48" i="13" s="1"/>
  <c r="I48" i="13" s="1"/>
  <c r="J48" i="13" s="1"/>
  <c r="H22" i="13"/>
  <c r="H52" i="13" s="1"/>
  <c r="H26" i="13"/>
  <c r="H56" i="13" s="1"/>
  <c r="I56" i="13" s="1"/>
  <c r="J56" i="13" s="1"/>
  <c r="H30" i="13"/>
  <c r="H60" i="13" s="1"/>
  <c r="H3" i="13"/>
  <c r="H33" i="13" s="1"/>
  <c r="H7" i="13"/>
  <c r="H11" i="13"/>
  <c r="H15" i="13"/>
  <c r="H45" i="13" s="1"/>
  <c r="I45" i="13" s="1"/>
  <c r="J45" i="13" s="1"/>
  <c r="H19" i="13"/>
  <c r="H23" i="13"/>
  <c r="H27" i="13"/>
  <c r="H4" i="13"/>
  <c r="H8" i="13"/>
  <c r="H12" i="13"/>
  <c r="H16" i="13"/>
  <c r="H46" i="13" s="1"/>
  <c r="I46" i="13" s="1"/>
  <c r="J46" i="13" s="1"/>
  <c r="H20" i="13"/>
  <c r="H24" i="13"/>
  <c r="H54" i="13" s="1"/>
  <c r="I54" i="13" s="1"/>
  <c r="J54" i="13" s="1"/>
  <c r="H28" i="13"/>
  <c r="H58" i="13" s="1"/>
  <c r="H5" i="13"/>
  <c r="H9" i="13"/>
  <c r="H39" i="13" s="1"/>
  <c r="I39" i="13" s="1"/>
  <c r="J39" i="13" s="1"/>
  <c r="H17" i="13"/>
  <c r="H21" i="13"/>
  <c r="H25" i="13"/>
  <c r="H55" i="13" s="1"/>
  <c r="H29" i="13"/>
  <c r="H59" i="13" s="1"/>
  <c r="H13" i="13"/>
  <c r="H43" i="13" s="1"/>
  <c r="I43" i="13" s="1"/>
  <c r="J43" i="13" s="1"/>
  <c r="K242" i="14"/>
  <c r="J271" i="14"/>
  <c r="K271" i="14" s="1"/>
  <c r="J361" i="14"/>
  <c r="K361" i="14" s="1"/>
  <c r="K332" i="14"/>
  <c r="J451" i="14"/>
  <c r="K451" i="14" s="1"/>
  <c r="K422" i="14"/>
  <c r="G6" i="3"/>
  <c r="H6" i="3" s="1"/>
  <c r="H3" i="3"/>
  <c r="H37" i="13"/>
  <c r="I37" i="13" s="1"/>
  <c r="J37" i="13" s="1"/>
  <c r="H40" i="13"/>
  <c r="I40" i="13" s="1"/>
  <c r="J40" i="13" s="1"/>
  <c r="H51" i="13"/>
  <c r="I51" i="13" s="1"/>
  <c r="J51" i="13" s="1"/>
  <c r="H42" i="13"/>
  <c r="I42" i="13" s="1"/>
  <c r="J42" i="13" s="1"/>
  <c r="H53" i="13"/>
  <c r="I53" i="13" s="1"/>
  <c r="J53" i="13" s="1"/>
  <c r="H41" i="13"/>
  <c r="I41" i="13" s="1"/>
  <c r="J41" i="13" s="1"/>
  <c r="H36" i="13"/>
  <c r="I36" i="13" s="1"/>
  <c r="J36" i="13" s="1"/>
  <c r="I33" i="13" l="1"/>
  <c r="J33" i="13" s="1"/>
  <c r="I11" i="13"/>
  <c r="I23" i="13"/>
  <c r="I26" i="13"/>
  <c r="I16" i="13"/>
  <c r="I21" i="13"/>
  <c r="I7" i="13"/>
  <c r="I24" i="13"/>
  <c r="I25" i="13"/>
  <c r="I29" i="13"/>
  <c r="I9" i="13"/>
  <c r="I12" i="13"/>
  <c r="I15" i="13"/>
  <c r="I13" i="13"/>
  <c r="I3" i="13"/>
  <c r="H142" i="13"/>
  <c r="H82" i="13"/>
  <c r="I82" i="13" s="1"/>
  <c r="J82" i="13" s="1"/>
  <c r="H112" i="13"/>
  <c r="I52" i="13"/>
  <c r="J52" i="13" s="1"/>
  <c r="H38" i="13"/>
  <c r="I8" i="13"/>
  <c r="H49" i="13"/>
  <c r="H139" i="13" s="1"/>
  <c r="I19" i="13"/>
  <c r="H35" i="13"/>
  <c r="I5" i="13"/>
  <c r="I17" i="13"/>
  <c r="H47" i="13"/>
  <c r="I30" i="13"/>
  <c r="H57" i="13"/>
  <c r="I27" i="13"/>
  <c r="I22" i="13"/>
  <c r="H126" i="13"/>
  <c r="H96" i="13"/>
  <c r="H66" i="13"/>
  <c r="H138" i="13"/>
  <c r="H78" i="13"/>
  <c r="H108" i="13"/>
  <c r="I4" i="13"/>
  <c r="H34" i="13"/>
  <c r="H118" i="13"/>
  <c r="H88" i="13"/>
  <c r="I88" i="13" s="1"/>
  <c r="J88" i="13" s="1"/>
  <c r="H148" i="13"/>
  <c r="I14" i="13"/>
  <c r="H44" i="13"/>
  <c r="F31" i="13"/>
  <c r="H31" i="13" s="1"/>
  <c r="I18" i="13"/>
  <c r="I58" i="13"/>
  <c r="J58" i="13" s="1"/>
  <c r="H84" i="13"/>
  <c r="H144" i="13"/>
  <c r="H114" i="13"/>
  <c r="I20" i="13"/>
  <c r="H50" i="13"/>
  <c r="H89" i="13"/>
  <c r="H149" i="13"/>
  <c r="H119" i="13"/>
  <c r="H135" i="13"/>
  <c r="H105" i="13"/>
  <c r="H75" i="13"/>
  <c r="H123" i="13"/>
  <c r="H63" i="13"/>
  <c r="I63" i="13" s="1"/>
  <c r="J63" i="13" s="1"/>
  <c r="H93" i="13"/>
  <c r="H102" i="13"/>
  <c r="H72" i="13"/>
  <c r="H132" i="13"/>
  <c r="H85" i="13"/>
  <c r="H145" i="13"/>
  <c r="H115" i="13"/>
  <c r="H130" i="13"/>
  <c r="H100" i="13"/>
  <c r="H70" i="13"/>
  <c r="I28" i="13"/>
  <c r="I6" i="13"/>
  <c r="I55" i="13"/>
  <c r="J55" i="13" s="1"/>
  <c r="I10" i="13"/>
  <c r="I59" i="13"/>
  <c r="J59" i="13" s="1"/>
  <c r="H103" i="13"/>
  <c r="H73" i="13"/>
  <c r="H133" i="13"/>
  <c r="H76" i="13"/>
  <c r="H106" i="13"/>
  <c r="H136" i="13"/>
  <c r="H146" i="13"/>
  <c r="H116" i="13"/>
  <c r="H86" i="13"/>
  <c r="H131" i="13"/>
  <c r="H71" i="13"/>
  <c r="H101" i="13"/>
  <c r="H83" i="13"/>
  <c r="H113" i="13"/>
  <c r="H143" i="13"/>
  <c r="H69" i="13"/>
  <c r="H99" i="13"/>
  <c r="H129" i="13"/>
  <c r="H141" i="13"/>
  <c r="H111" i="13"/>
  <c r="H81" i="13"/>
  <c r="H127" i="13"/>
  <c r="H67" i="13"/>
  <c r="H97" i="13"/>
  <c r="G2" i="13" l="1"/>
  <c r="I2" i="13"/>
  <c r="I31" i="13" s="1"/>
  <c r="H62" i="13"/>
  <c r="I145" i="13"/>
  <c r="J145" i="13" s="1"/>
  <c r="I105" i="13"/>
  <c r="J105" i="13" s="1"/>
  <c r="I132" i="13"/>
  <c r="J132" i="13" s="1"/>
  <c r="I108" i="13"/>
  <c r="J108" i="13" s="1"/>
  <c r="I142" i="13"/>
  <c r="J142" i="13" s="1"/>
  <c r="I112" i="13"/>
  <c r="J112" i="13" s="1"/>
  <c r="I131" i="13"/>
  <c r="J131" i="13" s="1"/>
  <c r="I71" i="13"/>
  <c r="J71" i="13" s="1"/>
  <c r="I101" i="13"/>
  <c r="J101" i="13" s="1"/>
  <c r="H94" i="13"/>
  <c r="H124" i="13"/>
  <c r="H64" i="13"/>
  <c r="I34" i="13"/>
  <c r="J34" i="13" s="1"/>
  <c r="I103" i="13"/>
  <c r="J103" i="13" s="1"/>
  <c r="I133" i="13"/>
  <c r="J133" i="13" s="1"/>
  <c r="I73" i="13"/>
  <c r="J73" i="13" s="1"/>
  <c r="I75" i="13"/>
  <c r="J75" i="13" s="1"/>
  <c r="I135" i="13"/>
  <c r="J135" i="13" s="1"/>
  <c r="I66" i="13"/>
  <c r="J66" i="13" s="1"/>
  <c r="I96" i="13"/>
  <c r="J96" i="13" s="1"/>
  <c r="H90" i="13"/>
  <c r="I90" i="13" s="1"/>
  <c r="J90" i="13" s="1"/>
  <c r="H120" i="13"/>
  <c r="H150" i="13"/>
  <c r="I60" i="13"/>
  <c r="J60" i="13" s="1"/>
  <c r="H95" i="13"/>
  <c r="H125" i="13"/>
  <c r="H65" i="13"/>
  <c r="I65" i="13" s="1"/>
  <c r="J65" i="13" s="1"/>
  <c r="I35" i="13"/>
  <c r="J35" i="13" s="1"/>
  <c r="I76" i="13"/>
  <c r="J76" i="13" s="1"/>
  <c r="I136" i="13"/>
  <c r="J136" i="13" s="1"/>
  <c r="I106" i="13"/>
  <c r="J106" i="13" s="1"/>
  <c r="I97" i="13"/>
  <c r="J97" i="13" s="1"/>
  <c r="I67" i="13"/>
  <c r="J67" i="13" s="1"/>
  <c r="I127" i="13"/>
  <c r="J127" i="13" s="1"/>
  <c r="I72" i="13"/>
  <c r="J72" i="13" s="1"/>
  <c r="I102" i="13"/>
  <c r="J102" i="13" s="1"/>
  <c r="I130" i="13"/>
  <c r="J130" i="13" s="1"/>
  <c r="I70" i="13"/>
  <c r="J70" i="13" s="1"/>
  <c r="I111" i="13"/>
  <c r="J111" i="13" s="1"/>
  <c r="I141" i="13"/>
  <c r="J141" i="13" s="1"/>
  <c r="I81" i="13"/>
  <c r="J81" i="13" s="1"/>
  <c r="I83" i="13"/>
  <c r="J83" i="13" s="1"/>
  <c r="I113" i="13"/>
  <c r="J113" i="13" s="1"/>
  <c r="I143" i="13"/>
  <c r="J143" i="13" s="1"/>
  <c r="I116" i="13"/>
  <c r="J116" i="13" s="1"/>
  <c r="I86" i="13"/>
  <c r="J86" i="13" s="1"/>
  <c r="I146" i="13"/>
  <c r="J146" i="13" s="1"/>
  <c r="I100" i="13"/>
  <c r="J100" i="13" s="1"/>
  <c r="I115" i="13"/>
  <c r="J115" i="13" s="1"/>
  <c r="I85" i="13"/>
  <c r="J85" i="13" s="1"/>
  <c r="I89" i="13"/>
  <c r="J89" i="13" s="1"/>
  <c r="I149" i="13"/>
  <c r="J149" i="13" s="1"/>
  <c r="I119" i="13"/>
  <c r="J119" i="13" s="1"/>
  <c r="I126" i="13"/>
  <c r="J126" i="13" s="1"/>
  <c r="I118" i="13"/>
  <c r="J118" i="13" s="1"/>
  <c r="I148" i="13"/>
  <c r="J148" i="13" s="1"/>
  <c r="H107" i="13"/>
  <c r="H77" i="13"/>
  <c r="H137" i="13"/>
  <c r="I47" i="13"/>
  <c r="J47" i="13" s="1"/>
  <c r="H68" i="13"/>
  <c r="I68" i="13" s="1"/>
  <c r="J68" i="13" s="1"/>
  <c r="H128" i="13"/>
  <c r="H98" i="13"/>
  <c r="I38" i="13"/>
  <c r="J38" i="13" s="1"/>
  <c r="I69" i="13"/>
  <c r="J69" i="13" s="1"/>
  <c r="I99" i="13"/>
  <c r="J99" i="13" s="1"/>
  <c r="I129" i="13"/>
  <c r="J129" i="13" s="1"/>
  <c r="I93" i="13"/>
  <c r="J93" i="13" s="1"/>
  <c r="I123" i="13"/>
  <c r="J123" i="13" s="1"/>
  <c r="I50" i="13"/>
  <c r="J50" i="13" s="1"/>
  <c r="H110" i="13"/>
  <c r="H80" i="13"/>
  <c r="H140" i="13"/>
  <c r="I84" i="13"/>
  <c r="J84" i="13" s="1"/>
  <c r="I144" i="13"/>
  <c r="J144" i="13" s="1"/>
  <c r="I114" i="13"/>
  <c r="J114" i="13" s="1"/>
  <c r="G10" i="13"/>
  <c r="G26" i="13"/>
  <c r="G12" i="13"/>
  <c r="G9" i="13"/>
  <c r="G29" i="13"/>
  <c r="G15" i="13"/>
  <c r="G20" i="13"/>
  <c r="G14" i="13"/>
  <c r="G30" i="13"/>
  <c r="G16" i="13"/>
  <c r="G17" i="13"/>
  <c r="G3" i="13"/>
  <c r="G19" i="13"/>
  <c r="G28" i="13"/>
  <c r="G18" i="13"/>
  <c r="G4" i="13"/>
  <c r="G24" i="13"/>
  <c r="G21" i="13"/>
  <c r="G7" i="13"/>
  <c r="G23" i="13"/>
  <c r="G13" i="13"/>
  <c r="G6" i="13"/>
  <c r="G25" i="13"/>
  <c r="G8" i="13"/>
  <c r="G22" i="13"/>
  <c r="G11" i="13"/>
  <c r="G27" i="13"/>
  <c r="G5" i="13"/>
  <c r="H74" i="13"/>
  <c r="I74" i="13" s="1"/>
  <c r="J74" i="13" s="1"/>
  <c r="H134" i="13"/>
  <c r="H104" i="13"/>
  <c r="I44" i="13"/>
  <c r="J44" i="13" s="1"/>
  <c r="I78" i="13"/>
  <c r="J78" i="13" s="1"/>
  <c r="I138" i="13"/>
  <c r="J138" i="13" s="1"/>
  <c r="H147" i="13"/>
  <c r="H87" i="13"/>
  <c r="I87" i="13" s="1"/>
  <c r="J87" i="13" s="1"/>
  <c r="H117" i="13"/>
  <c r="I57" i="13"/>
  <c r="J57" i="13" s="1"/>
  <c r="H79" i="13"/>
  <c r="I79" i="13" s="1"/>
  <c r="J79" i="13" s="1"/>
  <c r="H109" i="13"/>
  <c r="I49" i="13"/>
  <c r="J49" i="13" s="1"/>
  <c r="I137" i="13" l="1"/>
  <c r="J137" i="13" s="1"/>
  <c r="I110" i="13"/>
  <c r="J110" i="13" s="1"/>
  <c r="I104" i="13"/>
  <c r="J104" i="13" s="1"/>
  <c r="I77" i="13"/>
  <c r="J77" i="13" s="1"/>
  <c r="I94" i="13"/>
  <c r="J94" i="13" s="1"/>
  <c r="G61" i="13"/>
  <c r="I98" i="13"/>
  <c r="J98" i="13" s="1"/>
  <c r="I109" i="13"/>
  <c r="J109" i="13" s="1"/>
  <c r="G31" i="13"/>
  <c r="I125" i="13"/>
  <c r="J125" i="13" s="1"/>
  <c r="I139" i="13"/>
  <c r="J139" i="13" s="1"/>
  <c r="I134" i="13"/>
  <c r="J134" i="13" s="1"/>
  <c r="I107" i="13"/>
  <c r="J107" i="13" s="1"/>
  <c r="I150" i="13"/>
  <c r="J150" i="13" s="1"/>
  <c r="I117" i="13"/>
  <c r="J117" i="13" s="1"/>
  <c r="I147" i="13"/>
  <c r="J147" i="13" s="1"/>
  <c r="I128" i="13"/>
  <c r="J128" i="13" s="1"/>
  <c r="I140" i="13"/>
  <c r="J140" i="13" s="1"/>
  <c r="I95" i="13"/>
  <c r="J95" i="13" s="1"/>
  <c r="I120" i="13"/>
  <c r="J120" i="13" s="1"/>
  <c r="I64" i="13"/>
  <c r="J64" i="13" s="1"/>
  <c r="G121" i="13"/>
  <c r="I80" i="13"/>
  <c r="J80" i="13" s="1"/>
  <c r="H92" i="13"/>
  <c r="H121" i="13" s="1"/>
  <c r="H122" i="13"/>
  <c r="H151" i="13" s="1"/>
  <c r="H61" i="13"/>
  <c r="I32" i="13"/>
  <c r="G151" i="13"/>
  <c r="G91" i="13"/>
  <c r="I124" i="13"/>
  <c r="J124" i="13" s="1"/>
  <c r="I61" i="13" l="1"/>
  <c r="J61" i="13" s="1"/>
  <c r="I92" i="13"/>
  <c r="J92" i="13" s="1"/>
  <c r="I122" i="13"/>
  <c r="I62" i="13"/>
  <c r="H91" i="13"/>
  <c r="I151" i="13" s="1"/>
  <c r="J32" i="13"/>
  <c r="I121" i="13" l="1"/>
  <c r="J121" i="13" s="1"/>
  <c r="I91" i="13"/>
  <c r="J91" i="13" s="1"/>
  <c r="J62" i="13"/>
  <c r="J122" i="13"/>
  <c r="J15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31A25-1548-43ED-86A9-96C57E68BB05}" name="Consulta - ANÁLISIS EQUIPO" description="Conexión a la consulta 'ANÁLISIS EQUIPO' en el libro." type="100" refreshedVersion="7" minRefreshableVersion="5">
    <extLst>
      <ext xmlns:x15="http://schemas.microsoft.com/office/spreadsheetml/2010/11/main" uri="{DE250136-89BD-433C-8126-D09CA5730AF9}">
        <x15:connection id="4daf51e8-8a43-4536-b6a2-df2b5c17011b"/>
      </ext>
    </extLst>
  </connection>
  <connection id="2" xr16:uid="{7821EB98-7C85-43CB-9AC6-F47E2D1B7D47}" keepAlive="1" name="ModelConnection_DatosExternos_11" description="Modelo de datos" type="5" refreshedVersion="7" minRefreshableVersion="5" saveData="1">
    <dbPr connection="Data Model Connection" command="ANÁLISIS EQUIPO" commandType="3"/>
    <extLst>
      <ext xmlns:x15="http://schemas.microsoft.com/office/spreadsheetml/2010/11/main" uri="{DE250136-89BD-433C-8126-D09CA5730AF9}">
        <x15:connection id="" model="1"/>
      </ext>
    </extLst>
  </connection>
  <connection id="3" xr16:uid="{16741CD8-0B93-4E4F-BF12-90DFD75BDE38}" keepAlive="1" name="ThisWorkbookDataModel" description="Modelo de datos"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<sst xmlns="http://schemas.openxmlformats.org/spreadsheetml/2006/main" count="4925" uniqueCount="296">
  <si>
    <t>GESTOR</t>
  </si>
  <si>
    <t>VERSION</t>
  </si>
  <si>
    <t>CODIGO</t>
  </si>
  <si>
    <t>FECHA MONITOREO</t>
  </si>
  <si>
    <t>TIPO DE PUNTAJE</t>
  </si>
  <si>
    <t>CARTERA</t>
  </si>
  <si>
    <t>NOMBRE EJECUTIVO</t>
  </si>
  <si>
    <t>CEDULA TT</t>
  </si>
  <si>
    <t>NOMBRE TT</t>
  </si>
  <si>
    <t>TELEFONO</t>
  </si>
  <si>
    <t>FECHA DE ATENCIÃ“N</t>
  </si>
  <si>
    <t>CALIFICACION TOTAL</t>
  </si>
  <si>
    <t>DESCRIPCIÃ“N</t>
  </si>
  <si>
    <t>PresentaciÃ³n.</t>
  </si>
  <si>
    <t>Explica el motivo de la llamada de forma clara y rÃ¡pida.</t>
  </si>
  <si>
    <t>Escucha Activa.</t>
  </si>
  <si>
    <t>Preguntar.</t>
  </si>
  <si>
    <t>Rebatir.</t>
  </si>
  <si>
    <t>Vender.</t>
  </si>
  <si>
    <t>Beneficios.</t>
  </si>
  <si>
    <t>Cierre.</t>
  </si>
  <si>
    <t>ActualizaciÃ³n de datos.</t>
  </si>
  <si>
    <t>Despedida.</t>
  </si>
  <si>
    <t>Oferta.</t>
  </si>
  <si>
    <t>Conocimiento Del Producto</t>
  </si>
  <si>
    <t>ModulaciÃ³n</t>
  </si>
  <si>
    <t>Muletillas</t>
  </si>
  <si>
    <t>Ruido Ambiente</t>
  </si>
  <si>
    <t>TMO</t>
  </si>
  <si>
    <t>Registro De Datos Actualizados.</t>
  </si>
  <si>
    <t>Realiza DevoluciÃ³n De Llamada</t>
  </si>
  <si>
    <t>Protocolo De GestiÃ³n</t>
  </si>
  <si>
    <t>cristian.gallego543</t>
  </si>
  <si>
    <t>CODIGO PS-F-03</t>
  </si>
  <si>
    <t>KPI</t>
  </si>
  <si>
    <t>3.45</t>
  </si>
  <si>
    <t>LLAMADA TELEFÃ“NICATIPO AUDITORIA</t>
  </si>
  <si>
    <t>27.6</t>
  </si>
  <si>
    <t>24.15</t>
  </si>
  <si>
    <t>13.8</t>
  </si>
  <si>
    <t>6.9</t>
  </si>
  <si>
    <t>20.7</t>
  </si>
  <si>
    <t>41.4</t>
  </si>
  <si>
    <t>Calificacionnegativa</t>
  </si>
  <si>
    <t>Cuartil Actual</t>
  </si>
  <si>
    <t>TOTAL</t>
  </si>
  <si>
    <t>TOTAL EQUIPO</t>
  </si>
  <si>
    <t>RAC</t>
  </si>
  <si>
    <t>PUNTAJE</t>
  </si>
  <si>
    <t>CUARTIL</t>
  </si>
  <si>
    <t>TIPO</t>
  </si>
  <si>
    <t>Q3</t>
  </si>
  <si>
    <t>Q1</t>
  </si>
  <si>
    <t>ALTO DESEMPEÑO</t>
  </si>
  <si>
    <t>Q4</t>
  </si>
  <si>
    <t>Q2</t>
  </si>
  <si>
    <t>MEDIO DESEMPEÑO</t>
  </si>
  <si>
    <t>BAJO DESEMPEÑO</t>
  </si>
  <si>
    <t>DEFICIENTE DESEMPEÑO</t>
  </si>
  <si>
    <t>SUMA EQUIPO</t>
  </si>
  <si>
    <t>PORCENTAJE</t>
  </si>
  <si>
    <t>IMPACTO TOTAL</t>
  </si>
  <si>
    <t>IMPECABILIDAD</t>
  </si>
  <si>
    <t>IMPACTO</t>
  </si>
  <si>
    <t>BAJO</t>
  </si>
  <si>
    <t>MEDIO</t>
  </si>
  <si>
    <t>ALTO</t>
  </si>
  <si>
    <t>PRELACIÓN</t>
  </si>
  <si>
    <t>SALIDA NO CONCORME</t>
  </si>
  <si>
    <t>SOLUCIÓN</t>
  </si>
  <si>
    <t>TIEMPO EN HORAS</t>
  </si>
  <si>
    <t>COSTO DE LAS HORAS</t>
  </si>
  <si>
    <t>DESARROLLO</t>
  </si>
  <si>
    <t>IMPACTO ESPERADO</t>
  </si>
  <si>
    <t>PESO</t>
  </si>
  <si>
    <t>2025-09-12 15:44:34.03636</t>
  </si>
  <si>
    <t>CrediOrbe Vigente</t>
  </si>
  <si>
    <t>cristian.cifuentes013</t>
  </si>
  <si>
    <t>YESICA CATHERINE BAUTISTA PALACIO</t>
  </si>
  <si>
    <t>2025-09-05 14:26:25.633078</t>
  </si>
  <si>
    <t>Marelis yanilis orozco cabarcas</t>
  </si>
  <si>
    <t>2025-09-05 11:01:52.205482</t>
  </si>
  <si>
    <t>YEIMY KATHERINE VALDELAMAR MARIN</t>
  </si>
  <si>
    <t>2025-09-05 10:16:55.792877</t>
  </si>
  <si>
    <t>2025-09-04 17:02:30.718431</t>
  </si>
  <si>
    <t>MARLENY MONTIEL PRADA</t>
  </si>
  <si>
    <t>2025-09-17 11:19:59.561569</t>
  </si>
  <si>
    <t>valeria.giraldo913</t>
  </si>
  <si>
    <t>FELIPE DE JESUS GONZALEZ LOAIZA</t>
  </si>
  <si>
    <t>2025-09-17 09:45:07.882145</t>
  </si>
  <si>
    <t>MAYERLIN CASTILLO PERLAZA</t>
  </si>
  <si>
    <t>10.35</t>
  </si>
  <si>
    <t>2025-09-09 11:21:05.185376</t>
  </si>
  <si>
    <t>YURI VALENCIA VALENCIA</t>
  </si>
  <si>
    <t>2025-09-08 16:43:21.791706</t>
  </si>
  <si>
    <t>MARIA ELSI LEYTON GAITAN</t>
  </si>
  <si>
    <t>2025-09-08 14:18:49.824369</t>
  </si>
  <si>
    <t>2025-09-15 17:35:54.879775</t>
  </si>
  <si>
    <t>yiseth.cifuentes484</t>
  </si>
  <si>
    <t>LUIS FRANCISCO GARZON RAMOS</t>
  </si>
  <si>
    <t>2025-09-15 15:27:07.624594</t>
  </si>
  <si>
    <t>NORIA CAMAYO CAMPO</t>
  </si>
  <si>
    <t>2025-09-15 13:50:44.289667</t>
  </si>
  <si>
    <t>EDGAR ANDRES GOMEZ PICON</t>
  </si>
  <si>
    <t>2025-09-10 13:52:51.508716</t>
  </si>
  <si>
    <t>JORGE ARMANDO SANTANA SOTO</t>
  </si>
  <si>
    <t>2025-09-10 11:57:53.944297</t>
  </si>
  <si>
    <t>MAYRA ALEJANDRA CORONADO TRUJILLO</t>
  </si>
  <si>
    <t>PresentaciÃ³n,</t>
  </si>
  <si>
    <t>Explica el motivo de la llamada de forma clara y rÃ¡pida,</t>
  </si>
  <si>
    <t>Escucha Activa,</t>
  </si>
  <si>
    <t>Preguntar,</t>
  </si>
  <si>
    <t>Rebatir,</t>
  </si>
  <si>
    <t>Vender,</t>
  </si>
  <si>
    <t>Beneficios,</t>
  </si>
  <si>
    <t>Cierre,</t>
  </si>
  <si>
    <t>ActualizaciÃ³n de datos,</t>
  </si>
  <si>
    <t>Despedida,</t>
  </si>
  <si>
    <t>Oferta,</t>
  </si>
  <si>
    <t>Manejo De Emociones,</t>
  </si>
  <si>
    <t>AtenciÃ³n Oportuna,</t>
  </si>
  <si>
    <t>Tiempos Muertos,</t>
  </si>
  <si>
    <t>Corte De ComunicaciÃ³n,</t>
  </si>
  <si>
    <t>TipificaciÃ³n,</t>
  </si>
  <si>
    <t>ObservaciÃ³n,</t>
  </si>
  <si>
    <t>Registro De Datos Actualizados,</t>
  </si>
  <si>
    <t>Agendamiento,</t>
  </si>
  <si>
    <t>Cumplimiento En Seguimiento,</t>
  </si>
  <si>
    <t>Uso De Medios,</t>
  </si>
  <si>
    <t>Protocolo De GestiÃ³n,</t>
  </si>
  <si>
    <t>CRISTIAN CIFUENTES</t>
  </si>
  <si>
    <t>VALERIA GIRALDO</t>
  </si>
  <si>
    <t>YISETH CIFUENTES</t>
  </si>
  <si>
    <t>PRESENTACIÓN</t>
  </si>
  <si>
    <t>MOTIVO</t>
  </si>
  <si>
    <t>DIAGNÓSTICO</t>
  </si>
  <si>
    <t>MONITOREO 1</t>
  </si>
  <si>
    <t>MONITOREO 2</t>
  </si>
  <si>
    <t>MONITOREO 3</t>
  </si>
  <si>
    <t>MONITOREO 4</t>
  </si>
  <si>
    <t>FECHA</t>
  </si>
  <si>
    <t>ESTADO</t>
  </si>
  <si>
    <t>MEJORA</t>
  </si>
  <si>
    <t>SE MANTIENE</t>
  </si>
  <si>
    <t>EMPEORA</t>
  </si>
  <si>
    <t>RESULTADO ESPERADO</t>
  </si>
  <si>
    <t>SEGMENTO</t>
  </si>
  <si>
    <t>CALIFICACIÓN</t>
  </si>
  <si>
    <t>ATENCIÓN TELEFÓNICA</t>
  </si>
  <si>
    <t>METODOLOGÍA DE GESTIÓN</t>
  </si>
  <si>
    <t>GESTIÓN EN CRM</t>
  </si>
  <si>
    <t>TIPO DE AUDITORÍA</t>
  </si>
  <si>
    <t>PORTAFOLIO</t>
  </si>
  <si>
    <t>EMPRESARIAL ACTIVA</t>
  </si>
  <si>
    <t>EMPRESARIAL VIGENTE</t>
  </si>
  <si>
    <t>MONITREO 4</t>
  </si>
  <si>
    <t>SUBTOTAL</t>
  </si>
  <si>
    <t>CUARTILAMIENTO POR EQUIPO</t>
  </si>
  <si>
    <t>CUARTILAMIENTO POR EJECUTIVO</t>
  </si>
  <si>
    <t>CÁLCULO</t>
  </si>
  <si>
    <t>CANTIDAD DE VARIABLES</t>
  </si>
  <si>
    <t>NÚMERO DE MUESTRAS</t>
  </si>
  <si>
    <t>SUMA TOTAL VARIABLES</t>
  </si>
  <si>
    <t>Q4 EQUIPO</t>
  </si>
  <si>
    <t>Q1 EQUIPO</t>
  </si>
  <si>
    <t>CANTIDAD</t>
  </si>
  <si>
    <t>AGENTES</t>
  </si>
  <si>
    <t>Q4 AGENTE</t>
  </si>
  <si>
    <t>Q1 AGENTE</t>
  </si>
  <si>
    <t>-</t>
  </si>
  <si>
    <t>CUARTILAMIENTO DIAGNOSTICO</t>
  </si>
  <si>
    <t>CUARTILAMIENTO MONITOREO 1</t>
  </si>
  <si>
    <t>CUARTILAMIENTO MONITOREO 2</t>
  </si>
  <si>
    <t>CUARTILAMIENTO MONITOREO 3</t>
  </si>
  <si>
    <t>CUARTILAMIENTO MONITOREO 4</t>
  </si>
  <si>
    <t>AGENTE</t>
  </si>
  <si>
    <t>CRISTIAN MAURICIO CIFUENTES CRUZ</t>
  </si>
  <si>
    <t>VALERIA GIRALDO RODRIGUEZ</t>
  </si>
  <si>
    <t>YISETH DAHIANA CIFUENTES CRUZ</t>
  </si>
  <si>
    <t xml:space="preserve"> </t>
  </si>
  <si>
    <t>TOTAL DIAGNÓSTICO</t>
  </si>
  <si>
    <t>TOTAL MONITOREO 1</t>
  </si>
  <si>
    <t>TOTAL MONITOREO 3</t>
  </si>
  <si>
    <t>TOTAL MONITOREO 4</t>
  </si>
  <si>
    <t>TOTAL MONITOREO 2</t>
  </si>
  <si>
    <t>3,6-7</t>
  </si>
  <si>
    <t>7,1-10,5</t>
  </si>
  <si>
    <t>10,6-14</t>
  </si>
  <si>
    <t>1-3,5</t>
  </si>
  <si>
    <t>ESTRATO</t>
  </si>
  <si>
    <t>CRITICO</t>
  </si>
  <si>
    <t>DIVISIÓN DEL TRABAJO</t>
  </si>
  <si>
    <t>CREACIÓN Y FORMALIZACIÓN DE LAS AREAS ESTRUCTURA Y OPERATIVAS, NECESARIAS PARA DAR SOPORTE A LA ACTIVIDAD ECONÓMICA DE LA EMPRESA. CLASIFIACIÓN DE LOS PROCEDIMIENTOS CORRESPONDIENTES A CADA ÁREA Y PROCEDIMIENTOS TRANSVERSALES.</t>
  </si>
  <si>
    <t>ESPECIALIZACIÓN</t>
  </si>
  <si>
    <t>CREACIÓN DE LOS DIFERENTES CARGOS TANTO OPERATIVOS COMO DE ESTRUCTURA Y CREACIÓN DE LOS PROCEDIMIENTOS TÉCNICOS PARA AMBAS ÁREAS.</t>
  </si>
  <si>
    <t>UNIDAD DE MANDO</t>
  </si>
  <si>
    <t>CREACIÓN Y/O ACTUALIZACIÓN DEL MANUAL DISCIPLINARIO Y DEL INSTRUCTIVO DE LA ESTRUCTURA ORGANIZACIONAL DE LA EMPRESA CON SUS CARGOS Y DIFERENTES RESPONSABILIDADES Y EL CONDUCTO REGULAR.</t>
  </si>
  <si>
    <t>AMPLITUD DE CONTROL</t>
  </si>
  <si>
    <t>POR MEDIO DE LOS PROCEDIMIENTOS DE CALIDAD DEL SERVICIO, ANÁLISIS DE PRODUCTIVIDAD Y EFECTIVIDAD, ANÁLISIS DE RIESGO, PROCEDIMIENTOS DE PRUEBAS DE VIABILIDAD, INSTRUCTIVOS DE ESTRUCTURA SE DISEÑA EL MEDIO UNIFICADO PARA RECABAR LA INFORMACIÓN QUE ESTÉ AL ALCANCE EN TIEMPO REAL DE LOS RESPONSABLES DE CADA ÁREA Y EN ESPECIAL DE GERENCIA QUIEN TENDRÁ ACCESO TOTAL.</t>
  </si>
  <si>
    <t>PRODUCTIVIDAD</t>
  </si>
  <si>
    <t>CREACIÓN DE LAS PLANTILLAS NECESARIAS PARA LA OBTENCIÓN DEL DATO DE COSTOS OPERATIVOS NECESARIOS PARA EL CALCULO DE LA EFICIENCIA, LA PRODUCTIVIDAD Y PROYECCIONES DE CRECIMIENTO ECONÓMICO.</t>
  </si>
  <si>
    <t>ROTACIÓN DE PERSONAL</t>
  </si>
  <si>
    <t xml:space="preserve">CAPACITACIÓN DEL PERSONAL PARA GARANTIZAR EL AUMENTO DE SU EFECTIVIDAD MEDIA, QUE HARÁ AUMENTAR SUS INGRESOS, SU COMPROMISO ORGANIZACIONAL Y EVITARÁ LA ROTACIÓN INNECESARIA DE PERSONAL POTENCIAL. </t>
  </si>
  <si>
    <t>COMUNICACIÓN CON CLIENTES</t>
  </si>
  <si>
    <t xml:space="preserve">A TRAVÉS DE LOS DIFERENTES PROCEDIMIENTOS SE ESTABLECE UN MARCO DE ACTUACIÓN RESPECTO DEL TIEMPO DE RESPUESTA A REQUERIMIENTOS, ASI COMO LA SOLICITUD DE LOS DESARROLLOS NECESARIOS POR PARTE DEL PRESTADOR DEL SERVICIO DE CRM PARA GARANTIZAR LA GENERACIÓN DE LOS INFORMES CON LAS ESPECIFICACIONES REQUERIDAS PARA LA ANÁLITICA DE DATOS Y LA PLANEACIÓN DE ESTRATEGIAS. </t>
  </si>
  <si>
    <t>GESTIÓN DE DESEMBOLSOS</t>
  </si>
  <si>
    <t xml:space="preserve">IMPLEMENTACIÓN DE UN MARCO DE ACTUACIÓN CON CRONOGRAMA QUE ESTABLEZCA LOS DIFERENTES PLAZOS Y FECHAS PARA REALIZAR LOS DESEMBOLSOS. </t>
  </si>
  <si>
    <t>GESTIÓN COMERCIAL</t>
  </si>
  <si>
    <t>PROYECTO DE CHOQUE PARA AUMENTAR LA ROTACIÓN DE  CONTRATOS NUEVOS POR ENCIMA DEL NIVEL OPTIMO DE ROTACIÓN, ACTUALIZACIÓN DEL SITIO WEB DE LA EMPRESA, PORTAFOLIO DE SERVICIOS Y SUS REDES SOCIALES.</t>
  </si>
  <si>
    <t>FALLAS TÉCNICAS</t>
  </si>
  <si>
    <t>REALIZAR LAS PRUEBAS DE VIABILIDAD Y LOS PLANES DE CONTINGENCIA PARA ENFRENTAR EVENTUALES FALLAS TÉCNICAS.</t>
  </si>
  <si>
    <t>RESULTADO M1</t>
  </si>
  <si>
    <t>RESULTADO M2</t>
  </si>
  <si>
    <t>RESULTADO M3</t>
  </si>
  <si>
    <t>RESULTADO M4</t>
  </si>
  <si>
    <t>VARIABLE</t>
  </si>
  <si>
    <t>ESCUCHA ACTIVA</t>
  </si>
  <si>
    <t>PREGUNTAR</t>
  </si>
  <si>
    <t>REBATIR</t>
  </si>
  <si>
    <t>VENDER</t>
  </si>
  <si>
    <t>BENEFICIOS</t>
  </si>
  <si>
    <t>CIERRE</t>
  </si>
  <si>
    <t>ACTUALIZACIÓN DE DATOS</t>
  </si>
  <si>
    <t>DESPEDIDA</t>
  </si>
  <si>
    <t>ODERTA</t>
  </si>
  <si>
    <t>CONOCIMIENTO DEL PRODUCTO</t>
  </si>
  <si>
    <t>MODULACIÓN</t>
  </si>
  <si>
    <t>MULETILLAS</t>
  </si>
  <si>
    <t>REUIDO AMBIENTE</t>
  </si>
  <si>
    <t>TMO (TIEMPO MEDIO DE OPERACIÓN)</t>
  </si>
  <si>
    <t>MANEJO DE EMOCIONES</t>
  </si>
  <si>
    <t>ATENCIÓN OPORTUNA</t>
  </si>
  <si>
    <t>TIEMPOS MUERTOS</t>
  </si>
  <si>
    <t>CORTE DE COMUNICACIÓN</t>
  </si>
  <si>
    <t>TIPIFICACIÓN</t>
  </si>
  <si>
    <t>OBSERVACIÓN</t>
  </si>
  <si>
    <t>REGISTRO DE DATOS ACTUALIZADOS</t>
  </si>
  <si>
    <t>AGENDAMIENTO</t>
  </si>
  <si>
    <t>CUMPLE SEGUIMIENTO</t>
  </si>
  <si>
    <t>REALIZA DEVOLUCIÓN DE LLAMADA</t>
  </si>
  <si>
    <t>USO DE MEDIOS</t>
  </si>
  <si>
    <t>LLAMA AL CODEUDOR</t>
  </si>
  <si>
    <t>USO DE NOTIFICACIONES</t>
  </si>
  <si>
    <t>PESO DE CADA VARIABLE</t>
  </si>
  <si>
    <t>IMPACTO D</t>
  </si>
  <si>
    <t>IMPACTO M1</t>
  </si>
  <si>
    <t>IMPACTO M2</t>
  </si>
  <si>
    <t>IMPACTO M3</t>
  </si>
  <si>
    <t>IMPACTO M4</t>
  </si>
  <si>
    <t>ENTORNO</t>
  </si>
  <si>
    <t>MÉTODO</t>
  </si>
  <si>
    <t>HOMBRE</t>
  </si>
  <si>
    <t>MÁQUINA</t>
  </si>
  <si>
    <t>MATERIAL</t>
  </si>
  <si>
    <t>MEDIDA</t>
  </si>
  <si>
    <t>N</t>
  </si>
  <si>
    <t>ACTIVIDAD</t>
  </si>
  <si>
    <t>DESCRIPCION</t>
  </si>
  <si>
    <t>Hombre.</t>
  </si>
  <si>
    <t>En este estrato encontramos que la causa raíz de una salida no conforme se debe a una situación de comportamiento, que suele darse por un tema actitudinal, más que a falta de conocimientos de los diferentes procedimientos.</t>
  </si>
  <si>
    <t xml:space="preserve">Máquina. </t>
  </si>
  <si>
    <t>Hace referencia a los equipos propios para el desarrollo de las labores cotidianas, como los computadores, por lo que realizar las pruebas de viabilidad técnica es de carácter esencial.</t>
  </si>
  <si>
    <t>Entorno.</t>
  </si>
  <si>
    <t>Se refiere al medio ambiente en el que nos encontramos a la hora de realizar la labor, donde puede afectar el ruido ambiente, calor, frio, lluvia, sol, viento, entre otros.</t>
  </si>
  <si>
    <t>Material.</t>
  </si>
  <si>
    <t>Hace referencia a los medios virtuales o tecnológicos virtuales como el CRM, así como las herramientas (notificaciones, correos electrónicos y mensajería masiva).</t>
  </si>
  <si>
    <t>Método.</t>
  </si>
  <si>
    <t>Se refiere a que se sigan estrictamente una serie de procedimientos técnicos idóneos para la labor encomendada, tales como el procedimiento de gestión de cartera, de gestión telefónica, o de notificación.</t>
  </si>
  <si>
    <t xml:space="preserve">Medida. </t>
  </si>
  <si>
    <t>Hace referencia a las diversas métricas que regulan la actividad económica, desde las micro y macro, las metas individuales y grupales, hasta los KPI´S e históricos de recaudos por portafolio.</t>
  </si>
  <si>
    <t>| 1 | *Mano de Obra (Personas)* | Falta de capacitación específica |</t>
  </si>
  <si>
    <t>| | | Baja moral o motivación del equipo |</t>
  </si>
  <si>
    <t>| | | Errores por falta de atención / prisa |</t>
  </si>
  <si>
    <t>| | | Ausentismo o rotación alta |</t>
  </si>
  <si>
    <t>| 2 | *Métodos (Procesos)* | Procesos de trabajo ambiguos o no estandarizados |</t>
  </si>
  <si>
    <t>| | | Falta de protocolos de revisión y control de calidad |</t>
  </si>
  <si>
    <t>| | | Secuencia de pasos ineficiente |</t>
  </si>
  <si>
    <t>| | | Documentación de procedimientos desactualizada |</t>
  </si>
  <si>
    <t>| 3 | *Maquinaria (Equipos)* | Fallas frecuentes en equipos críticos |</t>
  </si>
  <si>
    <t>| | | Mantenimiento preventivo inadecuado |</t>
  </si>
  <si>
    <t>| | | Equipos o herramientas obsoletas |</t>
  </si>
  <si>
    <t>| | | Calibración incorrecta de instrumentos |</t>
  </si>
  <si>
    <t>| 4 | *Materiales* | Calidad inconsistente de los insumos o materias primas |</t>
  </si>
  <si>
    <t>| | | Fallas en la gestión o almacenamiento de inventario |</t>
  </si>
  <si>
    <t>| | | Materiales incorrectos utilizados en el proceso |</t>
  </si>
  <si>
    <t>| | | Demoras o escasez de proveedores |</t>
  </si>
  <si>
    <t>| 5 | *Mediciones (Inspección)* | Métodos de medición imprecisos o no confiables |</t>
  </si>
  <si>
    <t>| | | Falta de indicadores clave (KPIs) |</t>
  </si>
  <si>
    <t>| | | Datos recolectados incorrectamente |</t>
  </si>
  <si>
    <t>| | | Muestreo insuficiente o sesgado |</t>
  </si>
  <si>
    <t>| 6 | *Medio Ambiente (Entorno)* | Condiciones de trabajo (temperatura, ruido, luz) deficientes |</t>
  </si>
  <si>
    <t>| | | Cambios inesperados en las regulaciones |</t>
  </si>
  <si>
    <t>| | | Desorden o mala organización del lugar de trabajo |</t>
  </si>
  <si>
    <t>| | | Interrupciones o distracciones externas |</t>
  </si>
  <si>
    <t xml:space="preserve"> Nivel. Categoría. Causa Detallada.</t>
  </si>
  <si>
    <t>Efecto/Problema (Define el problema que quieres analizar)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</si>
</sst>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0.0%"/>
    <numFmt numFmtId="165" formatCode="0.0"/>
    <numFmt numFmtId="166" formatCode="&quot;$&quot;\ #,##0"/>
  </numFmts>
  <fonts count="1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theme="0" tint="-4.9989318521683403E-2"/>
      <name val="Arial"/>
      <family val="2"/>
    </font>
    <font>
      <sz val="8"/>
      <name val="Calibri"/>
      <family val="2"/>
      <scheme val="minor"/>
    </font>
    <font>
      <b/>
      <sz val="11"/>
      <name val="Calibri"/>
      <family val="2"/>
      <scheme val="minor"/>
    </font>
    <font>
      <sz val="11"/>
      <name val="Calibri"/>
      <family val="2"/>
      <scheme val="minor"/>
    </font>
    <font>
      <sz val="11"/>
      <color theme="0"/>
      <name val="Calibri"/>
      <family val="2"/>
      <scheme val="minor"/>
    </font>
    <font>
      <b/>
      <sz val="18"/>
      <color theme="1"/>
      <name val="Calibri"/>
      <family val="2"/>
      <scheme val="minor"/>
    </font>
  </fonts>
  <fills count="20">
    <fill>
      <patternFill patternType="none"/>
    </fill>
    <fill>
      <patternFill patternType="gray125"/>
    </fill>
    <fill>
      <patternFill patternType="solid">
        <fgColor theme="9" tint="-0.499984740745262"/>
        <bgColor indexed="64"/>
      </patternFill>
    </fill>
    <fill>
      <patternFill patternType="solid">
        <fgColor rgb="FF002060"/>
        <bgColor indexed="64"/>
      </patternFill>
    </fill>
    <fill>
      <patternFill patternType="solid">
        <fgColor theme="7" tint="-0.249977111117893"/>
        <bgColor indexed="64"/>
      </patternFill>
    </fill>
    <fill>
      <patternFill patternType="solid">
        <fgColor theme="1" tint="0.14999847407452621"/>
        <bgColor indexed="64"/>
      </patternFill>
    </fill>
    <fill>
      <patternFill patternType="solid">
        <fgColor rgb="FFC00000"/>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0"/>
        <bgColor indexed="64"/>
      </patternFill>
    </fill>
    <fill>
      <patternFill patternType="solid">
        <fgColor theme="4" tint="-0.499984740745262"/>
        <bgColor indexed="64"/>
      </patternFill>
    </fill>
    <fill>
      <patternFill patternType="solid">
        <fgColor rgb="FFFFC000"/>
        <bgColor indexed="64"/>
      </patternFill>
    </fill>
    <fill>
      <patternFill patternType="solid">
        <fgColor theme="2" tint="-0.74999237037263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tint="-0.499984740745262"/>
        <bgColor indexed="64"/>
      </patternFill>
    </fill>
    <fill>
      <patternFill patternType="solid">
        <fgColor theme="0"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theme="4" tint="-0.249977111117893"/>
      </left>
      <right/>
      <top style="medium">
        <color theme="4" tint="-0.249977111117893"/>
      </top>
      <bottom style="medium">
        <color theme="4" tint="-0.249977111117893"/>
      </bottom>
      <diagonal/>
    </border>
    <border>
      <left/>
      <right style="medium">
        <color theme="4" tint="-0.249977111117893"/>
      </right>
      <top style="medium">
        <color theme="4" tint="-0.249977111117893"/>
      </top>
      <bottom style="medium">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2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4" fillId="7"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horizontal="center"/>
    </xf>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2" borderId="1" xfId="0" applyFont="1" applyFill="1" applyBorder="1" applyAlignment="1">
      <alignment horizontal="center" vertical="center"/>
    </xf>
    <xf numFmtId="22" fontId="2" fillId="2" borderId="1" xfId="0" applyNumberFormat="1" applyFont="1" applyFill="1" applyBorder="1" applyAlignment="1">
      <alignment horizontal="center" vertical="center"/>
    </xf>
    <xf numFmtId="22" fontId="0" fillId="0" borderId="1" xfId="0" applyNumberFormat="1" applyBorder="1" applyAlignment="1">
      <alignment horizontal="center" vertical="center"/>
    </xf>
    <xf numFmtId="0" fontId="0" fillId="0" borderId="1" xfId="0" applyBorder="1" applyAlignment="1">
      <alignment horizontal="center"/>
    </xf>
    <xf numFmtId="0" fontId="2" fillId="3" borderId="1" xfId="0" applyFont="1" applyFill="1" applyBorder="1" applyAlignment="1">
      <alignment horizontal="center"/>
    </xf>
    <xf numFmtId="0" fontId="3" fillId="9" borderId="1" xfId="0" applyFont="1" applyFill="1" applyBorder="1" applyAlignment="1">
      <alignment horizontal="center"/>
    </xf>
    <xf numFmtId="0" fontId="2" fillId="7" borderId="1" xfId="0" applyFont="1" applyFill="1" applyBorder="1" applyAlignment="1">
      <alignment horizontal="center"/>
    </xf>
    <xf numFmtId="0" fontId="2" fillId="7" borderId="1" xfId="0" applyFont="1" applyFill="1" applyBorder="1"/>
    <xf numFmtId="0" fontId="2" fillId="6" borderId="1" xfId="0" applyFont="1" applyFill="1" applyBorder="1" applyAlignment="1">
      <alignment horizontal="center"/>
    </xf>
    <xf numFmtId="0" fontId="3" fillId="10" borderId="1" xfId="0" applyFont="1" applyFill="1" applyBorder="1" applyAlignment="1">
      <alignment horizontal="center"/>
    </xf>
    <xf numFmtId="0" fontId="3" fillId="10" borderId="1" xfId="0" applyFont="1" applyFill="1" applyBorder="1"/>
    <xf numFmtId="0" fontId="3" fillId="9" borderId="1" xfId="0" applyFont="1" applyFill="1" applyBorder="1"/>
    <xf numFmtId="0" fontId="2" fillId="6" borderId="1" xfId="0" applyFont="1" applyFill="1" applyBorder="1"/>
    <xf numFmtId="0" fontId="6" fillId="0" borderId="1" xfId="0" applyFont="1" applyBorder="1" applyAlignment="1">
      <alignment horizontal="left" indent="1"/>
    </xf>
    <xf numFmtId="9" fontId="2" fillId="8" borderId="1" xfId="1" applyFont="1" applyFill="1" applyBorder="1" applyAlignment="1">
      <alignment horizontal="center" vertical="center" wrapText="1"/>
    </xf>
    <xf numFmtId="0" fontId="2" fillId="7" borderId="1" xfId="0" applyFont="1" applyFill="1" applyBorder="1" applyAlignment="1">
      <alignment horizontal="center" vertical="center"/>
    </xf>
    <xf numFmtId="0" fontId="2" fillId="7" borderId="1" xfId="0" applyFont="1" applyFill="1" applyBorder="1" applyAlignment="1">
      <alignment horizontal="center" vertical="center" wrapText="1"/>
    </xf>
    <xf numFmtId="9" fontId="2" fillId="7" borderId="1" xfId="1" applyFont="1" applyFill="1" applyBorder="1" applyAlignment="1">
      <alignment horizontal="center" vertical="center" wrapText="1"/>
    </xf>
    <xf numFmtId="0" fontId="3" fillId="0" borderId="1" xfId="0" applyFont="1" applyBorder="1" applyAlignment="1">
      <alignment horizontal="center"/>
    </xf>
    <xf numFmtId="9" fontId="3" fillId="0" borderId="1" xfId="1" applyFont="1" applyBorder="1" applyAlignment="1">
      <alignment horizontal="center"/>
    </xf>
    <xf numFmtId="0" fontId="3" fillId="11" borderId="1" xfId="0" applyFont="1" applyFill="1" applyBorder="1" applyAlignment="1">
      <alignment horizontal="center"/>
    </xf>
    <xf numFmtId="9" fontId="3" fillId="11" borderId="1" xfId="1" applyFont="1" applyFill="1" applyBorder="1" applyAlignment="1">
      <alignment horizontal="center"/>
    </xf>
    <xf numFmtId="0" fontId="0" fillId="11" borderId="1" xfId="0" applyFill="1" applyBorder="1" applyAlignment="1">
      <alignment horizontal="center"/>
    </xf>
    <xf numFmtId="47" fontId="0" fillId="0" borderId="1" xfId="0" applyNumberFormat="1" applyBorder="1" applyAlignment="1">
      <alignment horizontal="center" vertical="center"/>
    </xf>
    <xf numFmtId="0" fontId="2" fillId="13" borderId="1" xfId="0" applyFont="1" applyFill="1" applyBorder="1"/>
    <xf numFmtId="0" fontId="2" fillId="4" borderId="1" xfId="0" applyFont="1" applyFill="1" applyBorder="1"/>
    <xf numFmtId="0" fontId="2" fillId="2" borderId="3" xfId="0" applyFont="1" applyFill="1" applyBorder="1" applyAlignment="1">
      <alignment horizontal="center" vertical="center" wrapText="1"/>
    </xf>
    <xf numFmtId="0" fontId="2" fillId="13" borderId="1" xfId="0" applyFont="1" applyFill="1" applyBorder="1" applyAlignment="1">
      <alignment horizontal="center"/>
    </xf>
    <xf numFmtId="0" fontId="2" fillId="2" borderId="1" xfId="0" applyFont="1" applyFill="1" applyBorder="1" applyAlignment="1">
      <alignment horizontal="center"/>
    </xf>
    <xf numFmtId="0" fontId="0" fillId="13" borderId="0" xfId="0" applyFill="1" applyAlignment="1">
      <alignment horizontal="center" vertical="center"/>
    </xf>
    <xf numFmtId="14" fontId="2" fillId="2" borderId="1" xfId="0" applyNumberFormat="1" applyFont="1" applyFill="1" applyBorder="1" applyAlignment="1">
      <alignment horizontal="center"/>
    </xf>
    <xf numFmtId="0" fontId="2" fillId="2" borderId="1" xfId="0" applyFont="1" applyFill="1" applyBorder="1"/>
    <xf numFmtId="164" fontId="2" fillId="2" borderId="1" xfId="0" applyNumberFormat="1" applyFont="1" applyFill="1" applyBorder="1" applyAlignment="1">
      <alignment horizontal="center"/>
    </xf>
    <xf numFmtId="9" fontId="2" fillId="2" borderId="1" xfId="1" applyFont="1" applyFill="1" applyBorder="1" applyAlignment="1">
      <alignment horizontal="center"/>
    </xf>
    <xf numFmtId="0" fontId="2" fillId="4" borderId="1" xfId="0" applyFont="1" applyFill="1" applyBorder="1" applyAlignment="1">
      <alignment horizontal="center"/>
    </xf>
    <xf numFmtId="0" fontId="2" fillId="15" borderId="1" xfId="0" applyFont="1" applyFill="1" applyBorder="1" applyAlignment="1">
      <alignment horizontal="center"/>
    </xf>
    <xf numFmtId="14" fontId="3" fillId="0" borderId="1" xfId="0" applyNumberFormat="1" applyFont="1" applyBorder="1" applyAlignment="1">
      <alignment horizontal="center"/>
    </xf>
    <xf numFmtId="0" fontId="2" fillId="15" borderId="1" xfId="0" applyFont="1" applyFill="1" applyBorder="1"/>
    <xf numFmtId="0" fontId="0" fillId="0" borderId="0" xfId="0" applyAlignment="1">
      <alignment vertical="center"/>
    </xf>
    <xf numFmtId="0" fontId="3" fillId="9" borderId="1" xfId="0" applyFont="1" applyFill="1" applyBorder="1" applyAlignment="1">
      <alignment horizontal="center" vertical="center"/>
    </xf>
    <xf numFmtId="0" fontId="2" fillId="6" borderId="1" xfId="0" applyFont="1" applyFill="1" applyBorder="1" applyAlignment="1">
      <alignment horizontal="center" vertical="center"/>
    </xf>
    <xf numFmtId="9" fontId="2" fillId="2" borderId="1" xfId="1" applyFont="1" applyFill="1" applyBorder="1" applyAlignment="1">
      <alignment horizontal="center" vertical="center"/>
    </xf>
    <xf numFmtId="9" fontId="0" fillId="0" borderId="0" xfId="1" applyFont="1" applyAlignment="1">
      <alignment horizontal="center"/>
    </xf>
    <xf numFmtId="0" fontId="0" fillId="0" borderId="3" xfId="0" applyBorder="1" applyAlignment="1">
      <alignment horizontal="center" vertical="center"/>
    </xf>
    <xf numFmtId="0" fontId="8" fillId="13" borderId="1" xfId="0" applyFont="1" applyFill="1" applyBorder="1" applyAlignment="1">
      <alignment horizontal="center" vertical="center"/>
    </xf>
    <xf numFmtId="0" fontId="2" fillId="13" borderId="0" xfId="0" applyFont="1" applyFill="1" applyAlignment="1">
      <alignment horizontal="center" vertical="center"/>
    </xf>
    <xf numFmtId="0" fontId="2" fillId="5" borderId="1" xfId="0" applyFont="1" applyFill="1" applyBorder="1" applyAlignment="1">
      <alignment horizontal="center"/>
    </xf>
    <xf numFmtId="1" fontId="3" fillId="0" borderId="1" xfId="0" applyNumberFormat="1" applyFont="1" applyBorder="1" applyAlignment="1">
      <alignment horizontal="center"/>
    </xf>
    <xf numFmtId="0" fontId="3" fillId="16" borderId="1" xfId="0" applyFont="1" applyFill="1" applyBorder="1" applyAlignment="1">
      <alignment horizontal="center"/>
    </xf>
    <xf numFmtId="1" fontId="3" fillId="16" borderId="1" xfId="0" applyNumberFormat="1" applyFont="1" applyFill="1" applyBorder="1" applyAlignment="1">
      <alignment horizontal="center"/>
    </xf>
    <xf numFmtId="2" fontId="3" fillId="16" borderId="1" xfId="0" applyNumberFormat="1" applyFont="1" applyFill="1" applyBorder="1" applyAlignment="1">
      <alignment horizontal="center"/>
    </xf>
    <xf numFmtId="9" fontId="0" fillId="0" borderId="0" xfId="1" applyFont="1"/>
    <xf numFmtId="165" fontId="3" fillId="0" borderId="1" xfId="0" applyNumberFormat="1" applyFont="1" applyBorder="1" applyAlignment="1">
      <alignment horizontal="center"/>
    </xf>
    <xf numFmtId="0" fontId="0" fillId="15" borderId="0" xfId="0" applyFill="1"/>
    <xf numFmtId="164" fontId="0" fillId="0" borderId="0" xfId="1" applyNumberFormat="1" applyFont="1"/>
    <xf numFmtId="0" fontId="2" fillId="2" borderId="3" xfId="0" applyFont="1" applyFill="1" applyBorder="1" applyAlignment="1">
      <alignment vertical="center"/>
    </xf>
    <xf numFmtId="0" fontId="2" fillId="2" borderId="1" xfId="0" applyFont="1" applyFill="1" applyBorder="1" applyAlignment="1">
      <alignment vertical="center"/>
    </xf>
    <xf numFmtId="2" fontId="2" fillId="3" borderId="1" xfId="0" applyNumberFormat="1" applyFont="1" applyFill="1" applyBorder="1" applyAlignment="1">
      <alignment horizontal="center" vertical="center" wrapText="1"/>
    </xf>
    <xf numFmtId="2" fontId="2" fillId="4" borderId="1" xfId="0" applyNumberFormat="1" applyFont="1" applyFill="1" applyBorder="1" applyAlignment="1">
      <alignment horizontal="center" vertical="center" wrapText="1"/>
    </xf>
    <xf numFmtId="2" fontId="2" fillId="5" borderId="1" xfId="0" applyNumberFormat="1" applyFont="1" applyFill="1" applyBorder="1" applyAlignment="1">
      <alignment horizontal="center" vertical="center" wrapText="1"/>
    </xf>
    <xf numFmtId="2" fontId="4" fillId="6" borderId="1" xfId="1" applyNumberFormat="1" applyFont="1" applyFill="1" applyBorder="1" applyAlignment="1">
      <alignment horizontal="center" vertical="center" wrapText="1"/>
    </xf>
    <xf numFmtId="2" fontId="7" fillId="12" borderId="1" xfId="0" applyNumberFormat="1" applyFont="1" applyFill="1" applyBorder="1" applyAlignment="1">
      <alignment horizontal="center" vertical="center"/>
    </xf>
    <xf numFmtId="2" fontId="2" fillId="12" borderId="1" xfId="1" applyNumberFormat="1" applyFont="1" applyFill="1" applyBorder="1" applyAlignment="1">
      <alignment horizontal="center" vertical="center"/>
    </xf>
    <xf numFmtId="2" fontId="2" fillId="2"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2" fontId="0" fillId="0" borderId="0" xfId="0" applyNumberFormat="1" applyAlignment="1">
      <alignment horizontal="center" vertical="center"/>
    </xf>
    <xf numFmtId="2" fontId="6" fillId="0" borderId="1" xfId="1" applyNumberFormat="1" applyFont="1" applyFill="1" applyBorder="1" applyAlignment="1">
      <alignment horizontal="center"/>
    </xf>
    <xf numFmtId="2" fontId="6" fillId="9" borderId="1" xfId="0" applyNumberFormat="1" applyFont="1" applyFill="1" applyBorder="1" applyAlignment="1">
      <alignment horizontal="center"/>
    </xf>
    <xf numFmtId="2" fontId="2" fillId="2" borderId="1" xfId="0" applyNumberFormat="1" applyFont="1" applyFill="1" applyBorder="1" applyAlignment="1">
      <alignment horizontal="center"/>
    </xf>
    <xf numFmtId="2" fontId="0" fillId="0" borderId="0" xfId="0" applyNumberFormat="1"/>
    <xf numFmtId="2" fontId="2" fillId="2" borderId="1" xfId="1" applyNumberFormat="1" applyFont="1" applyFill="1" applyBorder="1" applyAlignment="1">
      <alignment horizontal="center" vertical="center" wrapText="1"/>
    </xf>
    <xf numFmtId="2" fontId="3" fillId="0" borderId="1" xfId="1" applyNumberFormat="1" applyFont="1" applyBorder="1" applyAlignment="1">
      <alignment horizontal="center"/>
    </xf>
    <xf numFmtId="2" fontId="2" fillId="2" borderId="1" xfId="1" applyNumberFormat="1" applyFont="1" applyFill="1" applyBorder="1" applyAlignment="1">
      <alignment horizontal="center"/>
    </xf>
    <xf numFmtId="9" fontId="0" fillId="0" borderId="0" xfId="0" applyNumberFormat="1"/>
    <xf numFmtId="0" fontId="0" fillId="0" borderId="1" xfId="0" applyBorder="1"/>
    <xf numFmtId="9" fontId="2" fillId="6" borderId="1" xfId="1" applyFont="1" applyFill="1" applyBorder="1" applyAlignment="1">
      <alignment horizontal="center" vertical="center"/>
    </xf>
    <xf numFmtId="0" fontId="3" fillId="6" borderId="1" xfId="0" applyFont="1" applyFill="1" applyBorder="1"/>
    <xf numFmtId="0" fontId="3" fillId="14" borderId="1" xfId="0" applyFont="1" applyFill="1" applyBorder="1"/>
    <xf numFmtId="9" fontId="3" fillId="0" borderId="1" xfId="1" applyFont="1" applyFill="1" applyBorder="1" applyAlignment="1">
      <alignment horizontal="center"/>
    </xf>
    <xf numFmtId="0" fontId="0" fillId="2" borderId="1" xfId="0" applyFill="1" applyBorder="1" applyAlignment="1">
      <alignment horizontal="center"/>
    </xf>
    <xf numFmtId="0" fontId="0" fillId="2" borderId="1" xfId="0" applyFill="1" applyBorder="1"/>
    <xf numFmtId="9" fontId="0" fillId="0" borderId="1" xfId="1" applyFont="1" applyBorder="1" applyAlignment="1">
      <alignment horizontal="center"/>
    </xf>
    <xf numFmtId="0" fontId="3" fillId="0" borderId="1" xfId="0" applyFont="1" applyBorder="1" applyAlignment="1">
      <alignment horizontal="center" vertical="center"/>
    </xf>
    <xf numFmtId="166" fontId="2" fillId="7" borderId="1" xfId="0" applyNumberFormat="1" applyFont="1" applyFill="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17"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3" fillId="17" borderId="1" xfId="0" applyFont="1" applyFill="1" applyBorder="1" applyAlignment="1">
      <alignment vertical="center" wrapText="1"/>
    </xf>
    <xf numFmtId="166" fontId="3" fillId="0" borderId="1" xfId="0" applyNumberFormat="1" applyFont="1" applyBorder="1" applyAlignment="1">
      <alignment horizontal="center" vertical="center"/>
    </xf>
    <xf numFmtId="166" fontId="3" fillId="17" borderId="1" xfId="0" applyNumberFormat="1" applyFont="1" applyFill="1" applyBorder="1" applyAlignment="1">
      <alignment horizontal="center" vertical="center"/>
    </xf>
    <xf numFmtId="2" fontId="0" fillId="0" borderId="1" xfId="0" applyNumberFormat="1" applyBorder="1" applyAlignment="1">
      <alignment horizontal="center"/>
    </xf>
    <xf numFmtId="0" fontId="0" fillId="0" borderId="0" xfId="0" applyAlignment="1">
      <alignment wrapText="1"/>
    </xf>
    <xf numFmtId="0" fontId="0" fillId="0" borderId="0" xfId="0" applyAlignment="1">
      <alignment horizontal="center" wrapText="1"/>
    </xf>
    <xf numFmtId="0" fontId="0" fillId="0" borderId="7" xfId="0" applyBorder="1" applyAlignment="1">
      <alignment horizontal="center"/>
    </xf>
    <xf numFmtId="0" fontId="0" fillId="0" borderId="7" xfId="0" applyBorder="1" applyAlignment="1">
      <alignment horizontal="center" wrapText="1"/>
    </xf>
    <xf numFmtId="0" fontId="0" fillId="0" borderId="7" xfId="0" applyBorder="1" applyAlignment="1">
      <alignment wrapText="1"/>
    </xf>
    <xf numFmtId="0" fontId="2" fillId="2" borderId="7" xfId="0" applyFont="1" applyFill="1" applyBorder="1" applyAlignment="1">
      <alignment horizontal="center" wrapText="1"/>
    </xf>
    <xf numFmtId="0" fontId="0" fillId="18" borderId="7" xfId="0" applyFill="1" applyBorder="1" applyAlignment="1">
      <alignment wrapText="1"/>
    </xf>
    <xf numFmtId="0" fontId="2" fillId="18" borderId="7" xfId="0" applyFont="1" applyFill="1" applyBorder="1" applyAlignment="1">
      <alignment horizontal="center" wrapText="1"/>
    </xf>
    <xf numFmtId="0" fontId="2" fillId="19" borderId="7" xfId="0" applyFont="1" applyFill="1" applyBorder="1" applyAlignment="1">
      <alignment horizontal="center" wrapText="1"/>
    </xf>
    <xf numFmtId="165" fontId="0" fillId="0" borderId="0" xfId="1" applyNumberFormat="1" applyFont="1"/>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15" borderId="2" xfId="0" applyFont="1" applyFill="1" applyBorder="1" applyAlignment="1">
      <alignment horizontal="center" wrapText="1"/>
    </xf>
    <xf numFmtId="0" fontId="2" fillId="15" borderId="4" xfId="0" applyFont="1" applyFill="1" applyBorder="1" applyAlignment="1">
      <alignment horizontal="center" wrapText="1"/>
    </xf>
    <xf numFmtId="0" fontId="2" fillId="15" borderId="3" xfId="0" applyFont="1" applyFill="1" applyBorder="1" applyAlignment="1">
      <alignment horizontal="center" wrapText="1"/>
    </xf>
    <xf numFmtId="0" fontId="2" fillId="5" borderId="2" xfId="0" applyFont="1" applyFill="1" applyBorder="1" applyAlignment="1">
      <alignment horizontal="center" wrapText="1"/>
    </xf>
    <xf numFmtId="0" fontId="2" fillId="5" borderId="4" xfId="0" applyFont="1" applyFill="1" applyBorder="1" applyAlignment="1">
      <alignment horizontal="center" wrapText="1"/>
    </xf>
    <xf numFmtId="0" fontId="2" fillId="5" borderId="3" xfId="0" applyFont="1" applyFill="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2" fillId="7" borderId="2"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3" xfId="0" applyFont="1" applyFill="1" applyBorder="1" applyAlignment="1">
      <alignment horizontal="center" vertical="center"/>
    </xf>
    <xf numFmtId="0" fontId="9" fillId="0" borderId="0" xfId="0" applyFont="1" applyAlignment="1">
      <alignment vertical="center"/>
    </xf>
    <xf numFmtId="0" fontId="0" fillId="0" borderId="0" xfId="0" applyAlignment="1">
      <alignment horizontal="left" vertical="center" indent="1"/>
    </xf>
  </cellXfs>
  <cellStyles count="3">
    <cellStyle name="Moneda 2" xfId="2" xr:uid="{4433D0F0-482E-46DD-87F7-A0F125689E1A}"/>
    <cellStyle name="Normal" xfId="0" builtinId="0"/>
    <cellStyle name="Porcentaje" xfId="1" builtinId="5"/>
  </cellStyles>
  <dxfs count="71">
    <dxf>
      <fill>
        <patternFill>
          <bgColor rgb="FFFFFF00"/>
        </patternFill>
      </fill>
    </dxf>
    <dxf>
      <font>
        <color theme="0"/>
      </font>
      <fill>
        <patternFill>
          <bgColor theme="9" tint="-0.24994659260841701"/>
        </patternFill>
      </fill>
    </dxf>
    <dxf>
      <font>
        <color theme="0"/>
      </font>
      <fill>
        <patternFill>
          <bgColor rgb="FFC00000"/>
        </patternFill>
      </fill>
    </dxf>
    <dxf>
      <fill>
        <patternFill>
          <bgColor rgb="FFFFFF00"/>
        </patternFill>
      </fill>
    </dxf>
    <dxf>
      <font>
        <color theme="0"/>
      </font>
      <fill>
        <patternFill>
          <bgColor theme="9" tint="-0.24994659260841701"/>
        </patternFill>
      </fill>
    </dxf>
    <dxf>
      <font>
        <color theme="0"/>
      </font>
      <fill>
        <patternFill>
          <bgColor rgb="FFC00000"/>
        </patternFill>
      </fill>
    </dxf>
    <dxf>
      <fill>
        <patternFill>
          <bgColor rgb="FFFFFF00"/>
        </patternFill>
      </fill>
    </dxf>
    <dxf>
      <font>
        <color theme="0"/>
      </font>
      <fill>
        <patternFill>
          <bgColor theme="9" tint="-0.24994659260841701"/>
        </patternFill>
      </fill>
    </dxf>
    <dxf>
      <font>
        <color theme="0"/>
      </font>
      <fill>
        <patternFill>
          <bgColor rgb="FFC00000"/>
        </patternFill>
      </fill>
    </dxf>
    <dxf>
      <fill>
        <patternFill>
          <bgColor rgb="FFFFFF00"/>
        </patternFill>
      </fill>
    </dxf>
    <dxf>
      <font>
        <color theme="0"/>
      </font>
      <fill>
        <patternFill>
          <bgColor theme="9" tint="-0.24994659260841701"/>
        </patternFill>
      </fill>
    </dxf>
    <dxf>
      <font>
        <color theme="0"/>
      </font>
      <fill>
        <patternFill>
          <bgColor rgb="FFC00000"/>
        </patternFill>
      </fill>
    </dxf>
    <dxf>
      <font>
        <b/>
        <i val="0"/>
        <color theme="0"/>
      </font>
      <fill>
        <patternFill>
          <bgColor rgb="FFC00000"/>
        </patternFill>
      </fill>
    </dxf>
    <dxf>
      <font>
        <b/>
        <i val="0"/>
        <color auto="1"/>
      </font>
      <fill>
        <patternFill>
          <bgColor rgb="FFFFC000"/>
        </patternFill>
      </fill>
    </dxf>
    <dxf>
      <font>
        <b/>
        <i val="0"/>
        <color theme="1"/>
      </font>
      <fill>
        <patternFill>
          <bgColor rgb="FFFFFF00"/>
        </patternFill>
      </fill>
    </dxf>
    <dxf>
      <font>
        <b/>
        <i val="0"/>
      </font>
      <fill>
        <patternFill>
          <bgColor theme="9" tint="0.39994506668294322"/>
        </patternFill>
      </fill>
    </dxf>
    <dxf>
      <font>
        <b/>
        <i val="0"/>
        <color theme="1"/>
      </font>
      <fill>
        <patternFill>
          <bgColor theme="4" tint="0.39994506668294322"/>
        </patternFill>
      </fill>
    </dxf>
    <dxf>
      <fill>
        <patternFill>
          <bgColor rgb="FFFFFF00"/>
        </patternFill>
      </fill>
    </dxf>
    <dxf>
      <font>
        <color theme="0"/>
      </font>
      <fill>
        <patternFill>
          <bgColor theme="9" tint="-0.24994659260841701"/>
        </patternFill>
      </fill>
    </dxf>
    <dxf>
      <font>
        <color theme="0"/>
      </font>
      <fill>
        <patternFill>
          <bgColor rgb="FFC00000"/>
        </patternFill>
      </fill>
    </dxf>
    <dxf>
      <fill>
        <patternFill>
          <bgColor rgb="FFFFFF00"/>
        </patternFill>
      </fill>
    </dxf>
    <dxf>
      <font>
        <color theme="0"/>
      </font>
      <fill>
        <patternFill>
          <bgColor theme="9" tint="-0.24994659260841701"/>
        </patternFill>
      </fill>
    </dxf>
    <dxf>
      <font>
        <color theme="0"/>
      </font>
      <fill>
        <patternFill>
          <bgColor rgb="FFC00000"/>
        </patternFill>
      </fill>
    </dxf>
    <dxf>
      <font>
        <b/>
        <i val="0"/>
        <color theme="0"/>
      </font>
      <fill>
        <patternFill>
          <bgColor theme="9" tint="-0.499984740745262"/>
        </patternFill>
      </fill>
    </dxf>
    <dxf>
      <font>
        <b/>
        <i val="0"/>
        <color theme="1"/>
      </font>
      <fill>
        <patternFill>
          <bgColor theme="9" tint="0.39994506668294322"/>
        </patternFill>
      </fill>
    </dxf>
    <dxf>
      <font>
        <b/>
        <i val="0"/>
        <color theme="1"/>
      </font>
      <fill>
        <patternFill>
          <bgColor rgb="FFFFFF00"/>
        </patternFill>
      </fill>
    </dxf>
    <dxf>
      <font>
        <b/>
        <i val="0"/>
        <color theme="0"/>
      </font>
      <fill>
        <patternFill>
          <bgColor rgb="FFC00000"/>
        </patternFill>
      </fill>
    </dxf>
    <dxf>
      <font>
        <b/>
        <i val="0"/>
        <color theme="0"/>
      </font>
      <fill>
        <patternFill>
          <bgColor theme="9" tint="-0.499984740745262"/>
        </patternFill>
      </fill>
    </dxf>
    <dxf>
      <font>
        <b/>
        <i val="0"/>
        <color theme="1"/>
      </font>
      <fill>
        <patternFill>
          <bgColor theme="9" tint="0.39994506668294322"/>
        </patternFill>
      </fill>
    </dxf>
    <dxf>
      <font>
        <b/>
        <i val="0"/>
        <color theme="1"/>
      </font>
      <fill>
        <patternFill>
          <bgColor rgb="FFFFFF00"/>
        </patternFill>
      </fill>
    </dxf>
    <dxf>
      <font>
        <b/>
        <i val="0"/>
        <color theme="0"/>
      </font>
      <fill>
        <patternFill>
          <bgColor rgb="FFC00000"/>
        </patternFill>
      </fill>
    </dxf>
    <dxf>
      <font>
        <b/>
        <i val="0"/>
        <color theme="0"/>
      </font>
      <fill>
        <patternFill>
          <bgColor theme="9" tint="-0.499984740745262"/>
        </patternFill>
      </fill>
    </dxf>
    <dxf>
      <font>
        <b/>
        <i val="0"/>
        <color theme="1"/>
      </font>
      <fill>
        <patternFill>
          <bgColor theme="9" tint="0.39994506668294322"/>
        </patternFill>
      </fill>
    </dxf>
    <dxf>
      <font>
        <b/>
        <i val="0"/>
        <color theme="1"/>
      </font>
      <fill>
        <patternFill>
          <bgColor rgb="FFFFFF00"/>
        </patternFill>
      </fill>
    </dxf>
    <dxf>
      <font>
        <b/>
        <i val="0"/>
        <color theme="0"/>
      </font>
      <fill>
        <patternFill>
          <bgColor rgb="FFC00000"/>
        </patternFill>
      </fill>
    </dxf>
    <dxf>
      <font>
        <b/>
        <i val="0"/>
        <color theme="0"/>
      </font>
      <fill>
        <patternFill>
          <bgColor theme="9" tint="-0.499984740745262"/>
        </patternFill>
      </fill>
    </dxf>
    <dxf>
      <font>
        <b/>
        <i val="0"/>
        <color theme="1"/>
      </font>
      <fill>
        <patternFill>
          <bgColor theme="9" tint="0.39994506668294322"/>
        </patternFill>
      </fill>
    </dxf>
    <dxf>
      <font>
        <b/>
        <i val="0"/>
        <color theme="1"/>
      </font>
      <fill>
        <patternFill>
          <bgColor rgb="FFFFFF00"/>
        </patternFill>
      </fill>
    </dxf>
    <dxf>
      <font>
        <b/>
        <i val="0"/>
        <color theme="0"/>
      </font>
      <fill>
        <patternFill>
          <bgColor rgb="FFC00000"/>
        </patternFill>
      </fill>
    </dxf>
    <dxf>
      <font>
        <b/>
        <i val="0"/>
        <color theme="0"/>
      </font>
      <fill>
        <patternFill>
          <bgColor theme="9" tint="-0.499984740745262"/>
        </patternFill>
      </fill>
    </dxf>
    <dxf>
      <font>
        <b/>
        <i val="0"/>
        <color theme="1"/>
      </font>
      <fill>
        <patternFill>
          <bgColor theme="9" tint="0.39994506668294322"/>
        </patternFill>
      </fill>
    </dxf>
    <dxf>
      <font>
        <b/>
        <i val="0"/>
        <color theme="1"/>
      </font>
      <fill>
        <patternFill>
          <bgColor rgb="FFFFFF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font>
      <numFmt numFmtId="1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color theme="0"/>
      </font>
      <numFmt numFmtId="2" formatCode="0.00"/>
      <fill>
        <patternFill patternType="solid">
          <fgColor indexed="64"/>
          <bgColor rgb="FF00206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color theme="0"/>
      </font>
      <numFmt numFmtId="0" formatCode="General"/>
      <fill>
        <patternFill patternType="solid">
          <fgColor indexed="64"/>
          <bgColor theme="7" tint="-0.249977111117893"/>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color theme="0"/>
      </font>
      <numFmt numFmtId="0" formatCode="General"/>
      <fill>
        <patternFill patternType="solid">
          <fgColor indexed="64"/>
          <bgColor theme="7"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color theme="0"/>
      </font>
      <numFmt numFmtId="0" formatCode="General"/>
      <fill>
        <patternFill patternType="solid">
          <fgColor indexed="64"/>
          <bgColor theme="7" tint="-0.249977111117893"/>
        </patternFill>
      </fill>
      <border diagonalUp="0" diagonalDown="0">
        <left style="thin">
          <color indexed="64"/>
        </left>
        <right style="thin">
          <color indexed="64"/>
        </right>
        <top style="thin">
          <color indexed="64"/>
        </top>
        <bottom style="thin">
          <color indexed="64"/>
        </bottom>
        <vertical/>
        <horizontal/>
      </border>
    </dxf>
    <dxf>
      <font>
        <b/>
        <i val="0"/>
      </font>
      <numFmt numFmtId="19" formatCode="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font>
      <numFmt numFmtId="19" formatCode="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s>
  <tableStyles count="0" defaultTableStyle="TableStyleMedium2" defaultPivotStyle="PivotStyleLight16"/>
  <colors>
    <mruColors>
      <color rgb="FFE29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ESTRATIFICACIÓN!$E$2:$E$30</c:f>
              <c:strCache>
                <c:ptCount val="29"/>
                <c:pt idx="0">
                  <c:v>Beneficios,</c:v>
                </c:pt>
                <c:pt idx="1">
                  <c:v>Vender,</c:v>
                </c:pt>
                <c:pt idx="2">
                  <c:v>Rebatir,</c:v>
                </c:pt>
                <c:pt idx="3">
                  <c:v>Explica el motivo de la llamada de forma clara y rÃ¡pida,</c:v>
                </c:pt>
                <c:pt idx="4">
                  <c:v>Cierre,</c:v>
                </c:pt>
                <c:pt idx="5">
                  <c:v>Escucha Activa,</c:v>
                </c:pt>
                <c:pt idx="6">
                  <c:v>Preguntar,</c:v>
                </c:pt>
                <c:pt idx="7">
                  <c:v>Despedida,</c:v>
                </c:pt>
                <c:pt idx="8">
                  <c:v>TipificaciÃ³n,</c:v>
                </c:pt>
                <c:pt idx="9">
                  <c:v>PresentaciÃ³n,</c:v>
                </c:pt>
                <c:pt idx="10">
                  <c:v>TMO</c:v>
                </c:pt>
                <c:pt idx="11">
                  <c:v>Manejo De Emociones,</c:v>
                </c:pt>
                <c:pt idx="12">
                  <c:v>ActualizaciÃ³n de datos,</c:v>
                </c:pt>
                <c:pt idx="13">
                  <c:v>Oferta,</c:v>
                </c:pt>
                <c:pt idx="14">
                  <c:v>Conocimiento Del Producto</c:v>
                </c:pt>
                <c:pt idx="15">
                  <c:v>Muletillas</c:v>
                </c:pt>
                <c:pt idx="16">
                  <c:v>ObservaciÃ³n,</c:v>
                </c:pt>
                <c:pt idx="17">
                  <c:v>Protocolo De GestiÃ³n</c:v>
                </c:pt>
                <c:pt idx="18">
                  <c:v>ModulaciÃ³n</c:v>
                </c:pt>
                <c:pt idx="19">
                  <c:v>Ruido Ambiente</c:v>
                </c:pt>
                <c:pt idx="20">
                  <c:v>AtenciÃ³n Oportuna,</c:v>
                </c:pt>
                <c:pt idx="21">
                  <c:v>Tiempos Muertos,</c:v>
                </c:pt>
                <c:pt idx="22">
                  <c:v>Corte De ComunicaciÃ³n,</c:v>
                </c:pt>
                <c:pt idx="23">
                  <c:v>Registro De Datos Actualizados,</c:v>
                </c:pt>
                <c:pt idx="24">
                  <c:v>Agendamiento,</c:v>
                </c:pt>
                <c:pt idx="25">
                  <c:v>Cumplimiento En Seguimiento,</c:v>
                </c:pt>
                <c:pt idx="26">
                  <c:v>Realiza DevoluciÃ³n De Llamada</c:v>
                </c:pt>
                <c:pt idx="27">
                  <c:v>Uso De Medios,</c:v>
                </c:pt>
                <c:pt idx="28">
                  <c:v>Protocolo De GestiÃ³n,</c:v>
                </c:pt>
              </c:strCache>
            </c:strRef>
          </c:cat>
          <c:val>
            <c:numRef>
              <c:f>ESTRATIFICACIÓN!$F$2:$F$30</c:f>
              <c:numCache>
                <c:formatCode>0.00</c:formatCode>
                <c:ptCount val="29"/>
                <c:pt idx="0">
                  <c:v>34.5</c:v>
                </c:pt>
                <c:pt idx="1">
                  <c:v>31.050000000000004</c:v>
                </c:pt>
                <c:pt idx="2">
                  <c:v>27.6</c:v>
                </c:pt>
                <c:pt idx="3">
                  <c:v>24.150000000000002</c:v>
                </c:pt>
                <c:pt idx="4">
                  <c:v>17.25</c:v>
                </c:pt>
                <c:pt idx="5">
                  <c:v>13.8</c:v>
                </c:pt>
                <c:pt idx="6">
                  <c:v>13.8</c:v>
                </c:pt>
                <c:pt idx="7">
                  <c:v>13.8</c:v>
                </c:pt>
                <c:pt idx="8">
                  <c:v>13.8</c:v>
                </c:pt>
                <c:pt idx="9">
                  <c:v>10.350000000000001</c:v>
                </c:pt>
                <c:pt idx="10">
                  <c:v>10.350000000000001</c:v>
                </c:pt>
                <c:pt idx="11">
                  <c:v>10.350000000000001</c:v>
                </c:pt>
                <c:pt idx="12">
                  <c:v>6.9</c:v>
                </c:pt>
                <c:pt idx="13">
                  <c:v>6.9</c:v>
                </c:pt>
                <c:pt idx="14">
                  <c:v>3.45</c:v>
                </c:pt>
                <c:pt idx="15">
                  <c:v>3.45</c:v>
                </c:pt>
                <c:pt idx="16">
                  <c:v>3.45</c:v>
                </c:pt>
                <c:pt idx="17">
                  <c:v>3.45</c:v>
                </c:pt>
                <c:pt idx="18">
                  <c:v>0</c:v>
                </c:pt>
                <c:pt idx="19">
                  <c:v>0</c:v>
                </c:pt>
                <c:pt idx="20">
                  <c:v>0</c:v>
                </c:pt>
                <c:pt idx="21">
                  <c:v>0</c:v>
                </c:pt>
                <c:pt idx="22">
                  <c:v>0</c:v>
                </c:pt>
                <c:pt idx="23">
                  <c:v>0</c:v>
                </c:pt>
                <c:pt idx="24">
                  <c:v>0</c:v>
                </c:pt>
                <c:pt idx="25">
                  <c:v>0</c:v>
                </c:pt>
                <c:pt idx="26">
                  <c:v>0</c:v>
                </c:pt>
                <c:pt idx="27">
                  <c:v>0</c:v>
                </c:pt>
                <c:pt idx="28">
                  <c:v>0</c:v>
                </c:pt>
              </c:numCache>
            </c:numRef>
          </c:val>
          <c:extLst>
            <c:ext xmlns:c16="http://schemas.microsoft.com/office/drawing/2014/chart" uri="{C3380CC4-5D6E-409C-BE32-E72D297353CC}">
              <c16:uniqueId val="{00000000-02F0-4246-83FB-40BD27A3CE17}"/>
            </c:ext>
          </c:extLst>
        </c:ser>
        <c:dLbls>
          <c:showLegendKey val="0"/>
          <c:showVal val="1"/>
          <c:showCatName val="0"/>
          <c:showSerName val="0"/>
          <c:showPercent val="0"/>
          <c:showBubbleSize val="0"/>
        </c:dLbls>
        <c:gapWidth val="150"/>
        <c:shape val="box"/>
        <c:axId val="2032246640"/>
        <c:axId val="2032243728"/>
        <c:axId val="0"/>
      </c:bar3DChart>
      <c:catAx>
        <c:axId val="203224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2032243728"/>
        <c:crosses val="autoZero"/>
        <c:auto val="1"/>
        <c:lblAlgn val="ctr"/>
        <c:lblOffset val="100"/>
        <c:noMultiLvlLbl val="0"/>
      </c:catAx>
      <c:valAx>
        <c:axId val="2032243728"/>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203224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lineChart>
        <c:grouping val="standard"/>
        <c:varyColors val="0"/>
        <c:ser>
          <c:idx val="0"/>
          <c:order val="0"/>
          <c:tx>
            <c:strRef>
              <c:f>'LINEAS DE TENDENCIA EQUIPO '!$B$31</c:f>
              <c:strCache>
                <c:ptCount val="1"/>
                <c:pt idx="0">
                  <c:v>IMPACTO D</c:v>
                </c:pt>
              </c:strCache>
            </c:strRef>
          </c:tx>
          <c:spPr>
            <a:ln w="22225" cap="rnd">
              <a:solidFill>
                <a:schemeClr val="accent6"/>
              </a:solidFill>
            </a:ln>
            <a:effectLst>
              <a:glow rad="139700">
                <a:schemeClr val="accent6">
                  <a:satMod val="175000"/>
                  <a:alpha val="14000"/>
                </a:schemeClr>
              </a:glow>
            </a:effectLst>
          </c:spPr>
          <c:marker>
            <c:symbol val="none"/>
          </c:marker>
          <c:cat>
            <c:strRef>
              <c:f>'LINEAS DE TENDENCIA EQUIPO '!$A$32:$A$60</c:f>
              <c:strCache>
                <c:ptCount val="29"/>
                <c:pt idx="0">
                  <c:v>PresentaciÃ³n,</c:v>
                </c:pt>
                <c:pt idx="1">
                  <c:v>Explica el motivo de la llamada de forma clara y rÃ¡pida,</c:v>
                </c:pt>
                <c:pt idx="2">
                  <c:v>Escucha Activa,</c:v>
                </c:pt>
                <c:pt idx="3">
                  <c:v>Preguntar,</c:v>
                </c:pt>
                <c:pt idx="4">
                  <c:v>Rebatir,</c:v>
                </c:pt>
                <c:pt idx="5">
                  <c:v>Vender,</c:v>
                </c:pt>
                <c:pt idx="6">
                  <c:v>Beneficios,</c:v>
                </c:pt>
                <c:pt idx="7">
                  <c:v>Cierre,</c:v>
                </c:pt>
                <c:pt idx="8">
                  <c:v>ActualizaciÃ³n de datos,</c:v>
                </c:pt>
                <c:pt idx="9">
                  <c:v>Despedida,</c:v>
                </c:pt>
                <c:pt idx="10">
                  <c:v>Oferta,</c:v>
                </c:pt>
                <c:pt idx="11">
                  <c:v>Conocimiento Del Producto</c:v>
                </c:pt>
                <c:pt idx="12">
                  <c:v>ModulaciÃ³n</c:v>
                </c:pt>
                <c:pt idx="13">
                  <c:v>Muletillas</c:v>
                </c:pt>
                <c:pt idx="14">
                  <c:v>Ruido Ambiente</c:v>
                </c:pt>
                <c:pt idx="15">
                  <c:v>TMO</c:v>
                </c:pt>
                <c:pt idx="16">
                  <c:v>Manejo De Emociones,</c:v>
                </c:pt>
                <c:pt idx="17">
                  <c:v>AtenciÃ³n Oportuna,</c:v>
                </c:pt>
                <c:pt idx="18">
                  <c:v>Tiempos Muertos,</c:v>
                </c:pt>
                <c:pt idx="19">
                  <c:v>Corte De ComunicaciÃ³n,</c:v>
                </c:pt>
                <c:pt idx="20">
                  <c:v>TipificaciÃ³n,</c:v>
                </c:pt>
                <c:pt idx="21">
                  <c:v>ObservaciÃ³n,</c:v>
                </c:pt>
                <c:pt idx="22">
                  <c:v>Registro De Datos Actualizados,</c:v>
                </c:pt>
                <c:pt idx="23">
                  <c:v>Agendamiento,</c:v>
                </c:pt>
                <c:pt idx="24">
                  <c:v>Cumplimiento En Seguimiento,</c:v>
                </c:pt>
                <c:pt idx="25">
                  <c:v>Realiza DevoluciÃ³n De Llamada</c:v>
                </c:pt>
                <c:pt idx="26">
                  <c:v>Uso De Medios,</c:v>
                </c:pt>
                <c:pt idx="27">
                  <c:v>Protocolo De GestiÃ³n,</c:v>
                </c:pt>
                <c:pt idx="28">
                  <c:v>Protocolo De GestiÃ³n</c:v>
                </c:pt>
              </c:strCache>
            </c:strRef>
          </c:cat>
          <c:val>
            <c:numRef>
              <c:f>'LINEAS DE TENDENCIA EQUIPO '!$B$32:$B$60</c:f>
              <c:numCache>
                <c:formatCode>0.00</c:formatCode>
                <c:ptCount val="29"/>
                <c:pt idx="0">
                  <c:v>25.875</c:v>
                </c:pt>
                <c:pt idx="1">
                  <c:v>23.287500000000001</c:v>
                </c:pt>
                <c:pt idx="2">
                  <c:v>20.700000000000003</c:v>
                </c:pt>
                <c:pt idx="3">
                  <c:v>18.112500000000001</c:v>
                </c:pt>
                <c:pt idx="4">
                  <c:v>12.9375</c:v>
                </c:pt>
                <c:pt idx="5">
                  <c:v>10.350000000000001</c:v>
                </c:pt>
                <c:pt idx="6">
                  <c:v>10.350000000000001</c:v>
                </c:pt>
                <c:pt idx="7">
                  <c:v>10.350000000000001</c:v>
                </c:pt>
                <c:pt idx="8">
                  <c:v>10.350000000000001</c:v>
                </c:pt>
                <c:pt idx="9">
                  <c:v>7.7625000000000011</c:v>
                </c:pt>
                <c:pt idx="10">
                  <c:v>7.7625000000000011</c:v>
                </c:pt>
                <c:pt idx="11">
                  <c:v>7.7625000000000011</c:v>
                </c:pt>
                <c:pt idx="12">
                  <c:v>5.1750000000000007</c:v>
                </c:pt>
                <c:pt idx="13">
                  <c:v>5.1750000000000007</c:v>
                </c:pt>
                <c:pt idx="14">
                  <c:v>2.5875000000000004</c:v>
                </c:pt>
                <c:pt idx="15">
                  <c:v>2.5875000000000004</c:v>
                </c:pt>
                <c:pt idx="16">
                  <c:v>2.5875000000000004</c:v>
                </c:pt>
                <c:pt idx="17">
                  <c:v>2.5875000000000004</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7856-40DF-912C-FFF8767A07ED}"/>
            </c:ext>
          </c:extLst>
        </c:ser>
        <c:ser>
          <c:idx val="1"/>
          <c:order val="1"/>
          <c:tx>
            <c:strRef>
              <c:f>'LINEAS DE TENDENCIA EQUIPO '!$C$31</c:f>
              <c:strCache>
                <c:ptCount val="1"/>
                <c:pt idx="0">
                  <c:v>IMPACTO M1</c:v>
                </c:pt>
              </c:strCache>
            </c:strRef>
          </c:tx>
          <c:spPr>
            <a:ln w="22225" cap="rnd">
              <a:solidFill>
                <a:schemeClr val="accent5"/>
              </a:solidFill>
            </a:ln>
            <a:effectLst>
              <a:glow rad="139700">
                <a:schemeClr val="accent5">
                  <a:satMod val="175000"/>
                  <a:alpha val="14000"/>
                </a:schemeClr>
              </a:glow>
            </a:effectLst>
          </c:spPr>
          <c:marker>
            <c:symbol val="none"/>
          </c:marker>
          <c:cat>
            <c:strRef>
              <c:f>'LINEAS DE TENDENCIA EQUIPO '!$A$32:$A$60</c:f>
              <c:strCache>
                <c:ptCount val="29"/>
                <c:pt idx="0">
                  <c:v>PresentaciÃ³n,</c:v>
                </c:pt>
                <c:pt idx="1">
                  <c:v>Explica el motivo de la llamada de forma clara y rÃ¡pida,</c:v>
                </c:pt>
                <c:pt idx="2">
                  <c:v>Escucha Activa,</c:v>
                </c:pt>
                <c:pt idx="3">
                  <c:v>Preguntar,</c:v>
                </c:pt>
                <c:pt idx="4">
                  <c:v>Rebatir,</c:v>
                </c:pt>
                <c:pt idx="5">
                  <c:v>Vender,</c:v>
                </c:pt>
                <c:pt idx="6">
                  <c:v>Beneficios,</c:v>
                </c:pt>
                <c:pt idx="7">
                  <c:v>Cierre,</c:v>
                </c:pt>
                <c:pt idx="8">
                  <c:v>ActualizaciÃ³n de datos,</c:v>
                </c:pt>
                <c:pt idx="9">
                  <c:v>Despedida,</c:v>
                </c:pt>
                <c:pt idx="10">
                  <c:v>Oferta,</c:v>
                </c:pt>
                <c:pt idx="11">
                  <c:v>Conocimiento Del Producto</c:v>
                </c:pt>
                <c:pt idx="12">
                  <c:v>ModulaciÃ³n</c:v>
                </c:pt>
                <c:pt idx="13">
                  <c:v>Muletillas</c:v>
                </c:pt>
                <c:pt idx="14">
                  <c:v>Ruido Ambiente</c:v>
                </c:pt>
                <c:pt idx="15">
                  <c:v>TMO</c:v>
                </c:pt>
                <c:pt idx="16">
                  <c:v>Manejo De Emociones,</c:v>
                </c:pt>
                <c:pt idx="17">
                  <c:v>AtenciÃ³n Oportuna,</c:v>
                </c:pt>
                <c:pt idx="18">
                  <c:v>Tiempos Muertos,</c:v>
                </c:pt>
                <c:pt idx="19">
                  <c:v>Corte De ComunicaciÃ³n,</c:v>
                </c:pt>
                <c:pt idx="20">
                  <c:v>TipificaciÃ³n,</c:v>
                </c:pt>
                <c:pt idx="21">
                  <c:v>ObservaciÃ³n,</c:v>
                </c:pt>
                <c:pt idx="22">
                  <c:v>Registro De Datos Actualizados,</c:v>
                </c:pt>
                <c:pt idx="23">
                  <c:v>Agendamiento,</c:v>
                </c:pt>
                <c:pt idx="24">
                  <c:v>Cumplimiento En Seguimiento,</c:v>
                </c:pt>
                <c:pt idx="25">
                  <c:v>Realiza DevoluciÃ³n De Llamada</c:v>
                </c:pt>
                <c:pt idx="26">
                  <c:v>Uso De Medios,</c:v>
                </c:pt>
                <c:pt idx="27">
                  <c:v>Protocolo De GestiÃ³n,</c:v>
                </c:pt>
                <c:pt idx="28">
                  <c:v>Protocolo De GestiÃ³n</c:v>
                </c:pt>
              </c:strCache>
            </c:strRef>
          </c:cat>
          <c:val>
            <c:numRef>
              <c:f>'LINEAS DE TENDENCIA EQUIPO '!$C$32:$C$60</c:f>
              <c:numCache>
                <c:formatCode>0.00</c:formatCode>
                <c:ptCount val="29"/>
                <c:pt idx="0">
                  <c:v>1.9406250000000003</c:v>
                </c:pt>
                <c:pt idx="1">
                  <c:v>4.5281250000000002</c:v>
                </c:pt>
                <c:pt idx="2">
                  <c:v>2.5875000000000004</c:v>
                </c:pt>
                <c:pt idx="3">
                  <c:v>2.5875000000000004</c:v>
                </c:pt>
                <c:pt idx="4">
                  <c:v>5.1750000000000007</c:v>
                </c:pt>
                <c:pt idx="5">
                  <c:v>5.8218750000000004</c:v>
                </c:pt>
                <c:pt idx="6">
                  <c:v>6.46875</c:v>
                </c:pt>
                <c:pt idx="7">
                  <c:v>3.234375</c:v>
                </c:pt>
                <c:pt idx="8">
                  <c:v>1.2937500000000002</c:v>
                </c:pt>
                <c:pt idx="9">
                  <c:v>2.5875000000000004</c:v>
                </c:pt>
                <c:pt idx="10">
                  <c:v>1.2937500000000002</c:v>
                </c:pt>
                <c:pt idx="11">
                  <c:v>0.64687500000000009</c:v>
                </c:pt>
                <c:pt idx="12">
                  <c:v>0</c:v>
                </c:pt>
                <c:pt idx="13">
                  <c:v>0.64687500000000009</c:v>
                </c:pt>
                <c:pt idx="14">
                  <c:v>0</c:v>
                </c:pt>
                <c:pt idx="15">
                  <c:v>1.9406250000000003</c:v>
                </c:pt>
                <c:pt idx="16">
                  <c:v>1.9406250000000003</c:v>
                </c:pt>
                <c:pt idx="17">
                  <c:v>0</c:v>
                </c:pt>
                <c:pt idx="18">
                  <c:v>0</c:v>
                </c:pt>
                <c:pt idx="19">
                  <c:v>0</c:v>
                </c:pt>
                <c:pt idx="20">
                  <c:v>2.5875000000000004</c:v>
                </c:pt>
                <c:pt idx="21">
                  <c:v>0.64687500000000009</c:v>
                </c:pt>
                <c:pt idx="22">
                  <c:v>0</c:v>
                </c:pt>
                <c:pt idx="23">
                  <c:v>0</c:v>
                </c:pt>
                <c:pt idx="24">
                  <c:v>0</c:v>
                </c:pt>
                <c:pt idx="25">
                  <c:v>0</c:v>
                </c:pt>
                <c:pt idx="26">
                  <c:v>0</c:v>
                </c:pt>
                <c:pt idx="27">
                  <c:v>0</c:v>
                </c:pt>
                <c:pt idx="28">
                  <c:v>0.64687500000000009</c:v>
                </c:pt>
              </c:numCache>
            </c:numRef>
          </c:val>
          <c:smooth val="0"/>
          <c:extLst>
            <c:ext xmlns:c16="http://schemas.microsoft.com/office/drawing/2014/chart" uri="{C3380CC4-5D6E-409C-BE32-E72D297353CC}">
              <c16:uniqueId val="{00000001-7856-40DF-912C-FFF8767A07ED}"/>
            </c:ext>
          </c:extLst>
        </c:ser>
        <c:ser>
          <c:idx val="2"/>
          <c:order val="2"/>
          <c:tx>
            <c:strRef>
              <c:f>'LINEAS DE TENDENCIA EQUIPO '!$D$31</c:f>
              <c:strCache>
                <c:ptCount val="1"/>
                <c:pt idx="0">
                  <c:v>IMPACTO M2</c:v>
                </c:pt>
              </c:strCache>
            </c:strRef>
          </c:tx>
          <c:spPr>
            <a:ln w="22225" cap="rnd">
              <a:solidFill>
                <a:schemeClr val="accent4"/>
              </a:solidFill>
            </a:ln>
            <a:effectLst>
              <a:glow rad="139700">
                <a:schemeClr val="accent4">
                  <a:satMod val="175000"/>
                  <a:alpha val="14000"/>
                </a:schemeClr>
              </a:glow>
            </a:effectLst>
          </c:spPr>
          <c:marker>
            <c:symbol val="none"/>
          </c:marker>
          <c:cat>
            <c:strRef>
              <c:f>'LINEAS DE TENDENCIA EQUIPO '!$A$32:$A$60</c:f>
              <c:strCache>
                <c:ptCount val="29"/>
                <c:pt idx="0">
                  <c:v>PresentaciÃ³n,</c:v>
                </c:pt>
                <c:pt idx="1">
                  <c:v>Explica el motivo de la llamada de forma clara y rÃ¡pida,</c:v>
                </c:pt>
                <c:pt idx="2">
                  <c:v>Escucha Activa,</c:v>
                </c:pt>
                <c:pt idx="3">
                  <c:v>Preguntar,</c:v>
                </c:pt>
                <c:pt idx="4">
                  <c:v>Rebatir,</c:v>
                </c:pt>
                <c:pt idx="5">
                  <c:v>Vender,</c:v>
                </c:pt>
                <c:pt idx="6">
                  <c:v>Beneficios,</c:v>
                </c:pt>
                <c:pt idx="7">
                  <c:v>Cierre,</c:v>
                </c:pt>
                <c:pt idx="8">
                  <c:v>ActualizaciÃ³n de datos,</c:v>
                </c:pt>
                <c:pt idx="9">
                  <c:v>Despedida,</c:v>
                </c:pt>
                <c:pt idx="10">
                  <c:v>Oferta,</c:v>
                </c:pt>
                <c:pt idx="11">
                  <c:v>Conocimiento Del Producto</c:v>
                </c:pt>
                <c:pt idx="12">
                  <c:v>ModulaciÃ³n</c:v>
                </c:pt>
                <c:pt idx="13">
                  <c:v>Muletillas</c:v>
                </c:pt>
                <c:pt idx="14">
                  <c:v>Ruido Ambiente</c:v>
                </c:pt>
                <c:pt idx="15">
                  <c:v>TMO</c:v>
                </c:pt>
                <c:pt idx="16">
                  <c:v>Manejo De Emociones,</c:v>
                </c:pt>
                <c:pt idx="17">
                  <c:v>AtenciÃ³n Oportuna,</c:v>
                </c:pt>
                <c:pt idx="18">
                  <c:v>Tiempos Muertos,</c:v>
                </c:pt>
                <c:pt idx="19">
                  <c:v>Corte De ComunicaciÃ³n,</c:v>
                </c:pt>
                <c:pt idx="20">
                  <c:v>TipificaciÃ³n,</c:v>
                </c:pt>
                <c:pt idx="21">
                  <c:v>ObservaciÃ³n,</c:v>
                </c:pt>
                <c:pt idx="22">
                  <c:v>Registro De Datos Actualizados,</c:v>
                </c:pt>
                <c:pt idx="23">
                  <c:v>Agendamiento,</c:v>
                </c:pt>
                <c:pt idx="24">
                  <c:v>Cumplimiento En Seguimiento,</c:v>
                </c:pt>
                <c:pt idx="25">
                  <c:v>Realiza DevoluciÃ³n De Llamada</c:v>
                </c:pt>
                <c:pt idx="26">
                  <c:v>Uso De Medios,</c:v>
                </c:pt>
                <c:pt idx="27">
                  <c:v>Protocolo De GestiÃ³n,</c:v>
                </c:pt>
                <c:pt idx="28">
                  <c:v>Protocolo De GestiÃ³n</c:v>
                </c:pt>
              </c:strCache>
            </c:strRef>
          </c:cat>
          <c:val>
            <c:numRef>
              <c:f>'LINEAS DE TENDENCIA EQUIPO '!$D$32:$D$60</c:f>
              <c:numCache>
                <c:formatCode>0.00</c:formatCode>
                <c:ptCount val="29"/>
                <c:pt idx="0">
                  <c:v>1.9406250000000003</c:v>
                </c:pt>
                <c:pt idx="1">
                  <c:v>4.5281250000000002</c:v>
                </c:pt>
                <c:pt idx="2">
                  <c:v>2.5875000000000004</c:v>
                </c:pt>
                <c:pt idx="3">
                  <c:v>2.5875000000000004</c:v>
                </c:pt>
                <c:pt idx="4">
                  <c:v>5.1750000000000007</c:v>
                </c:pt>
                <c:pt idx="5">
                  <c:v>5.8218750000000004</c:v>
                </c:pt>
                <c:pt idx="6">
                  <c:v>6.46875</c:v>
                </c:pt>
                <c:pt idx="7">
                  <c:v>3.234375</c:v>
                </c:pt>
                <c:pt idx="8">
                  <c:v>1.2937500000000002</c:v>
                </c:pt>
                <c:pt idx="9">
                  <c:v>2.5875000000000004</c:v>
                </c:pt>
                <c:pt idx="10">
                  <c:v>1.2937500000000002</c:v>
                </c:pt>
                <c:pt idx="11">
                  <c:v>0.64687500000000009</c:v>
                </c:pt>
                <c:pt idx="12">
                  <c:v>0</c:v>
                </c:pt>
                <c:pt idx="13">
                  <c:v>0.64687500000000009</c:v>
                </c:pt>
                <c:pt idx="14">
                  <c:v>0</c:v>
                </c:pt>
                <c:pt idx="15">
                  <c:v>1.9406250000000003</c:v>
                </c:pt>
                <c:pt idx="16">
                  <c:v>1.9406250000000003</c:v>
                </c:pt>
                <c:pt idx="17">
                  <c:v>0</c:v>
                </c:pt>
                <c:pt idx="18">
                  <c:v>0</c:v>
                </c:pt>
                <c:pt idx="19">
                  <c:v>0</c:v>
                </c:pt>
                <c:pt idx="20">
                  <c:v>2.5875000000000004</c:v>
                </c:pt>
                <c:pt idx="21">
                  <c:v>0.64687500000000009</c:v>
                </c:pt>
                <c:pt idx="22">
                  <c:v>0</c:v>
                </c:pt>
                <c:pt idx="23">
                  <c:v>0</c:v>
                </c:pt>
                <c:pt idx="24">
                  <c:v>0</c:v>
                </c:pt>
                <c:pt idx="25">
                  <c:v>0</c:v>
                </c:pt>
                <c:pt idx="26">
                  <c:v>0</c:v>
                </c:pt>
                <c:pt idx="27">
                  <c:v>0</c:v>
                </c:pt>
                <c:pt idx="28">
                  <c:v>0.64687500000000009</c:v>
                </c:pt>
              </c:numCache>
            </c:numRef>
          </c:val>
          <c:smooth val="0"/>
          <c:extLst>
            <c:ext xmlns:c16="http://schemas.microsoft.com/office/drawing/2014/chart" uri="{C3380CC4-5D6E-409C-BE32-E72D297353CC}">
              <c16:uniqueId val="{00000002-7856-40DF-912C-FFF8767A07ED}"/>
            </c:ext>
          </c:extLst>
        </c:ser>
        <c:ser>
          <c:idx val="3"/>
          <c:order val="3"/>
          <c:tx>
            <c:strRef>
              <c:f>'LINEAS DE TENDENCIA EQUIPO '!$E$31</c:f>
              <c:strCache>
                <c:ptCount val="1"/>
                <c:pt idx="0">
                  <c:v>IMPACTO M3</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none"/>
          </c:marker>
          <c:cat>
            <c:strRef>
              <c:f>'LINEAS DE TENDENCIA EQUIPO '!$A$32:$A$60</c:f>
              <c:strCache>
                <c:ptCount val="29"/>
                <c:pt idx="0">
                  <c:v>PresentaciÃ³n,</c:v>
                </c:pt>
                <c:pt idx="1">
                  <c:v>Explica el motivo de la llamada de forma clara y rÃ¡pida,</c:v>
                </c:pt>
                <c:pt idx="2">
                  <c:v>Escucha Activa,</c:v>
                </c:pt>
                <c:pt idx="3">
                  <c:v>Preguntar,</c:v>
                </c:pt>
                <c:pt idx="4">
                  <c:v>Rebatir,</c:v>
                </c:pt>
                <c:pt idx="5">
                  <c:v>Vender,</c:v>
                </c:pt>
                <c:pt idx="6">
                  <c:v>Beneficios,</c:v>
                </c:pt>
                <c:pt idx="7">
                  <c:v>Cierre,</c:v>
                </c:pt>
                <c:pt idx="8">
                  <c:v>ActualizaciÃ³n de datos,</c:v>
                </c:pt>
                <c:pt idx="9">
                  <c:v>Despedida,</c:v>
                </c:pt>
                <c:pt idx="10">
                  <c:v>Oferta,</c:v>
                </c:pt>
                <c:pt idx="11">
                  <c:v>Conocimiento Del Producto</c:v>
                </c:pt>
                <c:pt idx="12">
                  <c:v>ModulaciÃ³n</c:v>
                </c:pt>
                <c:pt idx="13">
                  <c:v>Muletillas</c:v>
                </c:pt>
                <c:pt idx="14">
                  <c:v>Ruido Ambiente</c:v>
                </c:pt>
                <c:pt idx="15">
                  <c:v>TMO</c:v>
                </c:pt>
                <c:pt idx="16">
                  <c:v>Manejo De Emociones,</c:v>
                </c:pt>
                <c:pt idx="17">
                  <c:v>AtenciÃ³n Oportuna,</c:v>
                </c:pt>
                <c:pt idx="18">
                  <c:v>Tiempos Muertos,</c:v>
                </c:pt>
                <c:pt idx="19">
                  <c:v>Corte De ComunicaciÃ³n,</c:v>
                </c:pt>
                <c:pt idx="20">
                  <c:v>TipificaciÃ³n,</c:v>
                </c:pt>
                <c:pt idx="21">
                  <c:v>ObservaciÃ³n,</c:v>
                </c:pt>
                <c:pt idx="22">
                  <c:v>Registro De Datos Actualizados,</c:v>
                </c:pt>
                <c:pt idx="23">
                  <c:v>Agendamiento,</c:v>
                </c:pt>
                <c:pt idx="24">
                  <c:v>Cumplimiento En Seguimiento,</c:v>
                </c:pt>
                <c:pt idx="25">
                  <c:v>Realiza DevoluciÃ³n De Llamada</c:v>
                </c:pt>
                <c:pt idx="26">
                  <c:v>Uso De Medios,</c:v>
                </c:pt>
                <c:pt idx="27">
                  <c:v>Protocolo De GestiÃ³n,</c:v>
                </c:pt>
                <c:pt idx="28">
                  <c:v>Protocolo De GestiÃ³n</c:v>
                </c:pt>
              </c:strCache>
            </c:strRef>
          </c:cat>
          <c:val>
            <c:numRef>
              <c:f>'LINEAS DE TENDENCIA EQUIPO '!$E$32:$E$60</c:f>
              <c:numCache>
                <c:formatCode>0.00</c:formatCode>
                <c:ptCount val="29"/>
                <c:pt idx="0">
                  <c:v>1.9406250000000003</c:v>
                </c:pt>
                <c:pt idx="1">
                  <c:v>4.5281250000000002</c:v>
                </c:pt>
                <c:pt idx="2">
                  <c:v>2.5875000000000004</c:v>
                </c:pt>
                <c:pt idx="3">
                  <c:v>2.5875000000000004</c:v>
                </c:pt>
                <c:pt idx="4">
                  <c:v>5.1750000000000007</c:v>
                </c:pt>
                <c:pt idx="5">
                  <c:v>5.8218750000000004</c:v>
                </c:pt>
                <c:pt idx="6">
                  <c:v>6.46875</c:v>
                </c:pt>
                <c:pt idx="7">
                  <c:v>3.234375</c:v>
                </c:pt>
                <c:pt idx="8">
                  <c:v>1.2937500000000002</c:v>
                </c:pt>
                <c:pt idx="9">
                  <c:v>2.5875000000000004</c:v>
                </c:pt>
                <c:pt idx="10">
                  <c:v>1.2937500000000002</c:v>
                </c:pt>
                <c:pt idx="11">
                  <c:v>0.64687500000000009</c:v>
                </c:pt>
                <c:pt idx="12">
                  <c:v>0</c:v>
                </c:pt>
                <c:pt idx="13">
                  <c:v>0.64687500000000009</c:v>
                </c:pt>
                <c:pt idx="14">
                  <c:v>0</c:v>
                </c:pt>
                <c:pt idx="15">
                  <c:v>1.9406250000000003</c:v>
                </c:pt>
                <c:pt idx="16">
                  <c:v>1.9406250000000003</c:v>
                </c:pt>
                <c:pt idx="17">
                  <c:v>0</c:v>
                </c:pt>
                <c:pt idx="18">
                  <c:v>0</c:v>
                </c:pt>
                <c:pt idx="19">
                  <c:v>0</c:v>
                </c:pt>
                <c:pt idx="20">
                  <c:v>2.5875000000000004</c:v>
                </c:pt>
                <c:pt idx="21">
                  <c:v>0.64687500000000009</c:v>
                </c:pt>
                <c:pt idx="22">
                  <c:v>0</c:v>
                </c:pt>
                <c:pt idx="23">
                  <c:v>0</c:v>
                </c:pt>
                <c:pt idx="24">
                  <c:v>0</c:v>
                </c:pt>
                <c:pt idx="25">
                  <c:v>0</c:v>
                </c:pt>
                <c:pt idx="26">
                  <c:v>0</c:v>
                </c:pt>
                <c:pt idx="27">
                  <c:v>0</c:v>
                </c:pt>
                <c:pt idx="28">
                  <c:v>0.64687500000000009</c:v>
                </c:pt>
              </c:numCache>
            </c:numRef>
          </c:val>
          <c:smooth val="0"/>
          <c:extLst>
            <c:ext xmlns:c16="http://schemas.microsoft.com/office/drawing/2014/chart" uri="{C3380CC4-5D6E-409C-BE32-E72D297353CC}">
              <c16:uniqueId val="{00000003-7856-40DF-912C-FFF8767A07ED}"/>
            </c:ext>
          </c:extLst>
        </c:ser>
        <c:ser>
          <c:idx val="4"/>
          <c:order val="4"/>
          <c:tx>
            <c:strRef>
              <c:f>'LINEAS DE TENDENCIA EQUIPO '!$F$31</c:f>
              <c:strCache>
                <c:ptCount val="1"/>
                <c:pt idx="0">
                  <c:v>IMPACTO M4</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none"/>
          </c:marker>
          <c:cat>
            <c:strRef>
              <c:f>'LINEAS DE TENDENCIA EQUIPO '!$A$32:$A$60</c:f>
              <c:strCache>
                <c:ptCount val="29"/>
                <c:pt idx="0">
                  <c:v>PresentaciÃ³n,</c:v>
                </c:pt>
                <c:pt idx="1">
                  <c:v>Explica el motivo de la llamada de forma clara y rÃ¡pida,</c:v>
                </c:pt>
                <c:pt idx="2">
                  <c:v>Escucha Activa,</c:v>
                </c:pt>
                <c:pt idx="3">
                  <c:v>Preguntar,</c:v>
                </c:pt>
                <c:pt idx="4">
                  <c:v>Rebatir,</c:v>
                </c:pt>
                <c:pt idx="5">
                  <c:v>Vender,</c:v>
                </c:pt>
                <c:pt idx="6">
                  <c:v>Beneficios,</c:v>
                </c:pt>
                <c:pt idx="7">
                  <c:v>Cierre,</c:v>
                </c:pt>
                <c:pt idx="8">
                  <c:v>ActualizaciÃ³n de datos,</c:v>
                </c:pt>
                <c:pt idx="9">
                  <c:v>Despedida,</c:v>
                </c:pt>
                <c:pt idx="10">
                  <c:v>Oferta,</c:v>
                </c:pt>
                <c:pt idx="11">
                  <c:v>Conocimiento Del Producto</c:v>
                </c:pt>
                <c:pt idx="12">
                  <c:v>ModulaciÃ³n</c:v>
                </c:pt>
                <c:pt idx="13">
                  <c:v>Muletillas</c:v>
                </c:pt>
                <c:pt idx="14">
                  <c:v>Ruido Ambiente</c:v>
                </c:pt>
                <c:pt idx="15">
                  <c:v>TMO</c:v>
                </c:pt>
                <c:pt idx="16">
                  <c:v>Manejo De Emociones,</c:v>
                </c:pt>
                <c:pt idx="17">
                  <c:v>AtenciÃ³n Oportuna,</c:v>
                </c:pt>
                <c:pt idx="18">
                  <c:v>Tiempos Muertos,</c:v>
                </c:pt>
                <c:pt idx="19">
                  <c:v>Corte De ComunicaciÃ³n,</c:v>
                </c:pt>
                <c:pt idx="20">
                  <c:v>TipificaciÃ³n,</c:v>
                </c:pt>
                <c:pt idx="21">
                  <c:v>ObservaciÃ³n,</c:v>
                </c:pt>
                <c:pt idx="22">
                  <c:v>Registro De Datos Actualizados,</c:v>
                </c:pt>
                <c:pt idx="23">
                  <c:v>Agendamiento,</c:v>
                </c:pt>
                <c:pt idx="24">
                  <c:v>Cumplimiento En Seguimiento,</c:v>
                </c:pt>
                <c:pt idx="25">
                  <c:v>Realiza DevoluciÃ³n De Llamada</c:v>
                </c:pt>
                <c:pt idx="26">
                  <c:v>Uso De Medios,</c:v>
                </c:pt>
                <c:pt idx="27">
                  <c:v>Protocolo De GestiÃ³n,</c:v>
                </c:pt>
                <c:pt idx="28">
                  <c:v>Protocolo De GestiÃ³n</c:v>
                </c:pt>
              </c:strCache>
            </c:strRef>
          </c:cat>
          <c:val>
            <c:numRef>
              <c:f>'LINEAS DE TENDENCIA EQUIPO '!$F$32:$F$60</c:f>
              <c:numCache>
                <c:formatCode>0.00</c:formatCode>
                <c:ptCount val="29"/>
                <c:pt idx="0">
                  <c:v>1.9406250000000003</c:v>
                </c:pt>
                <c:pt idx="1">
                  <c:v>4.5281250000000002</c:v>
                </c:pt>
                <c:pt idx="2">
                  <c:v>2.5875000000000004</c:v>
                </c:pt>
                <c:pt idx="3">
                  <c:v>2.5875000000000004</c:v>
                </c:pt>
                <c:pt idx="4">
                  <c:v>5.1750000000000007</c:v>
                </c:pt>
                <c:pt idx="5">
                  <c:v>5.8218750000000004</c:v>
                </c:pt>
                <c:pt idx="6">
                  <c:v>6.46875</c:v>
                </c:pt>
                <c:pt idx="7">
                  <c:v>3.234375</c:v>
                </c:pt>
                <c:pt idx="8">
                  <c:v>1.2937500000000002</c:v>
                </c:pt>
                <c:pt idx="9">
                  <c:v>2.5875000000000004</c:v>
                </c:pt>
                <c:pt idx="10">
                  <c:v>1.2937500000000002</c:v>
                </c:pt>
                <c:pt idx="11">
                  <c:v>0.64687500000000009</c:v>
                </c:pt>
                <c:pt idx="12">
                  <c:v>0</c:v>
                </c:pt>
                <c:pt idx="13">
                  <c:v>0.64687500000000009</c:v>
                </c:pt>
                <c:pt idx="14">
                  <c:v>0</c:v>
                </c:pt>
                <c:pt idx="15">
                  <c:v>1.9406250000000003</c:v>
                </c:pt>
                <c:pt idx="16">
                  <c:v>1.9406250000000003</c:v>
                </c:pt>
                <c:pt idx="17">
                  <c:v>0</c:v>
                </c:pt>
                <c:pt idx="18">
                  <c:v>0</c:v>
                </c:pt>
                <c:pt idx="19">
                  <c:v>0</c:v>
                </c:pt>
                <c:pt idx="20">
                  <c:v>2.5875000000000004</c:v>
                </c:pt>
                <c:pt idx="21">
                  <c:v>0.64687500000000009</c:v>
                </c:pt>
                <c:pt idx="22">
                  <c:v>0</c:v>
                </c:pt>
                <c:pt idx="23">
                  <c:v>0</c:v>
                </c:pt>
                <c:pt idx="24">
                  <c:v>0</c:v>
                </c:pt>
                <c:pt idx="25">
                  <c:v>0</c:v>
                </c:pt>
                <c:pt idx="26">
                  <c:v>0</c:v>
                </c:pt>
                <c:pt idx="27">
                  <c:v>0</c:v>
                </c:pt>
                <c:pt idx="28">
                  <c:v>0.64687500000000009</c:v>
                </c:pt>
              </c:numCache>
            </c:numRef>
          </c:val>
          <c:smooth val="0"/>
          <c:extLst>
            <c:ext xmlns:c16="http://schemas.microsoft.com/office/drawing/2014/chart" uri="{C3380CC4-5D6E-409C-BE32-E72D297353CC}">
              <c16:uniqueId val="{00000004-7856-40DF-912C-FFF8767A07ED}"/>
            </c:ext>
          </c:extLst>
        </c:ser>
        <c:dLbls>
          <c:showLegendKey val="0"/>
          <c:showVal val="0"/>
          <c:showCatName val="0"/>
          <c:showSerName val="0"/>
          <c:showPercent val="0"/>
          <c:showBubbleSize val="0"/>
        </c:dLbls>
        <c:smooth val="0"/>
        <c:axId val="1231979232"/>
        <c:axId val="1231971328"/>
      </c:lineChart>
      <c:catAx>
        <c:axId val="12319792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31971328"/>
        <c:crosses val="autoZero"/>
        <c:auto val="1"/>
        <c:lblAlgn val="ctr"/>
        <c:lblOffset val="100"/>
        <c:noMultiLvlLbl val="0"/>
      </c:catAx>
      <c:valAx>
        <c:axId val="12319713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31979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723899</xdr:colOff>
      <xdr:row>3</xdr:row>
      <xdr:rowOff>42862</xdr:rowOff>
    </xdr:from>
    <xdr:to>
      <xdr:col>33</xdr:col>
      <xdr:colOff>552450</xdr:colOff>
      <xdr:row>27</xdr:row>
      <xdr:rowOff>152400</xdr:rowOff>
    </xdr:to>
    <xdr:graphicFrame macro="">
      <xdr:nvGraphicFramePr>
        <xdr:cNvPr id="4" name="Gráfico 3">
          <a:extLst>
            <a:ext uri="{FF2B5EF4-FFF2-40B4-BE49-F238E27FC236}">
              <a16:creationId xmlns:a16="http://schemas.microsoft.com/office/drawing/2014/main" id="{939D5221-0C47-495C-B742-1C14385F8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0.06204</cdr:x>
      <cdr:y>0.01085</cdr:y>
    </cdr:from>
    <cdr:to>
      <cdr:x>0.16768</cdr:x>
      <cdr:y>0.04248</cdr:y>
    </cdr:to>
    <cdr:sp macro="" textlink="">
      <cdr:nvSpPr>
        <cdr:cNvPr id="2" name="CuadroTexto 1">
          <a:extLst xmlns:a="http://schemas.openxmlformats.org/drawingml/2006/main">
            <a:ext uri="{FF2B5EF4-FFF2-40B4-BE49-F238E27FC236}">
              <a16:creationId xmlns:a16="http://schemas.microsoft.com/office/drawing/2014/main" id="{345F41A2-4495-4DC4-81EE-379C6A3DD59D}"/>
            </a:ext>
          </a:extLst>
        </cdr:cNvPr>
        <cdr:cNvSpPr txBox="1"/>
      </cdr:nvSpPr>
      <cdr:spPr>
        <a:xfrm xmlns:a="http://schemas.openxmlformats.org/drawingml/2006/main">
          <a:off x="698500" y="50800"/>
          <a:ext cx="1189331" cy="1480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O" sz="1100" b="1">
              <a:solidFill>
                <a:schemeClr val="bg1"/>
              </a:solidFill>
            </a:rPr>
            <a:t>IMPACTO CRÍTICO</a:t>
          </a:r>
        </a:p>
      </cdr:txBody>
    </cdr:sp>
  </cdr:relSizeAnchor>
  <cdr:relSizeAnchor xmlns:cdr="http://schemas.openxmlformats.org/drawingml/2006/chartDrawing">
    <cdr:from>
      <cdr:x>0.07135</cdr:x>
      <cdr:y>0.07392</cdr:y>
    </cdr:from>
    <cdr:to>
      <cdr:x>0.16159</cdr:x>
      <cdr:y>0.08851</cdr:y>
    </cdr:to>
    <cdr:sp macro="" textlink="">
      <cdr:nvSpPr>
        <cdr:cNvPr id="3" name="Abrir corchete 2">
          <a:extLst xmlns:a="http://schemas.openxmlformats.org/drawingml/2006/main">
            <a:ext uri="{FF2B5EF4-FFF2-40B4-BE49-F238E27FC236}">
              <a16:creationId xmlns:a16="http://schemas.microsoft.com/office/drawing/2014/main" id="{2EC1DC79-2EBC-478B-B1B7-D917A0CD4D49}"/>
            </a:ext>
          </a:extLst>
        </cdr:cNvPr>
        <cdr:cNvSpPr/>
      </cdr:nvSpPr>
      <cdr:spPr>
        <a:xfrm xmlns:a="http://schemas.openxmlformats.org/drawingml/2006/main" rot="5400000">
          <a:off x="1277144" y="-127791"/>
          <a:ext cx="68266" cy="1015998"/>
        </a:xfrm>
        <a:prstGeom xmlns:a="http://schemas.openxmlformats.org/drawingml/2006/main" prst="leftBracket">
          <a:avLst/>
        </a:prstGeom>
        <a:ln xmlns:a="http://schemas.openxmlformats.org/drawingml/2006/main" w="76200">
          <a:solidFill>
            <a:srgbClr val="C00000"/>
          </a:solidFill>
        </a:ln>
      </cdr:spPr>
      <cdr:style>
        <a:lnRef xmlns:a="http://schemas.openxmlformats.org/drawingml/2006/main" idx="3">
          <a:schemeClr val="accent1"/>
        </a:lnRef>
        <a:fillRef xmlns:a="http://schemas.openxmlformats.org/drawingml/2006/main" idx="0">
          <a:schemeClr val="accent1"/>
        </a:fillRef>
        <a:effectRef xmlns:a="http://schemas.openxmlformats.org/drawingml/2006/main" idx="2">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s-CO" sz="1100"/>
        </a:p>
      </cdr:txBody>
    </cdr:sp>
  </cdr:relSizeAnchor>
  <cdr:relSizeAnchor xmlns:cdr="http://schemas.openxmlformats.org/drawingml/2006/chartDrawing">
    <cdr:from>
      <cdr:x>0.16949</cdr:x>
      <cdr:y>0.17192</cdr:y>
    </cdr:from>
    <cdr:to>
      <cdr:x>0.19628</cdr:x>
      <cdr:y>0.20651</cdr:y>
    </cdr:to>
    <cdr:sp macro="" textlink="">
      <cdr:nvSpPr>
        <cdr:cNvPr id="4" name="Abrir corchete 3">
          <a:extLst xmlns:a="http://schemas.openxmlformats.org/drawingml/2006/main">
            <a:ext uri="{FF2B5EF4-FFF2-40B4-BE49-F238E27FC236}">
              <a16:creationId xmlns:a16="http://schemas.microsoft.com/office/drawing/2014/main" id="{B7E05FAB-9642-454A-9F3B-B3FCC2528DDD}"/>
            </a:ext>
          </a:extLst>
        </cdr:cNvPr>
        <cdr:cNvSpPr/>
      </cdr:nvSpPr>
      <cdr:spPr>
        <a:xfrm xmlns:a="http://schemas.openxmlformats.org/drawingml/2006/main" rot="5400000">
          <a:off x="1978023" y="735012"/>
          <a:ext cx="161925" cy="301627"/>
        </a:xfrm>
        <a:prstGeom xmlns:a="http://schemas.openxmlformats.org/drawingml/2006/main" prst="leftBracket">
          <a:avLst/>
        </a:prstGeom>
        <a:ln xmlns:a="http://schemas.openxmlformats.org/drawingml/2006/main" w="76200">
          <a:solidFill>
            <a:srgbClr val="FFC000"/>
          </a:solidFill>
        </a:ln>
      </cdr:spPr>
      <cdr:style>
        <a:lnRef xmlns:a="http://schemas.openxmlformats.org/drawingml/2006/main" idx="3">
          <a:schemeClr val="accent1"/>
        </a:lnRef>
        <a:fillRef xmlns:a="http://schemas.openxmlformats.org/drawingml/2006/main" idx="0">
          <a:schemeClr val="accent1"/>
        </a:fillRef>
        <a:effectRef xmlns:a="http://schemas.openxmlformats.org/drawingml/2006/main" idx="2">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s-CO" sz="1100"/>
        </a:p>
      </cdr:txBody>
    </cdr:sp>
  </cdr:relSizeAnchor>
  <cdr:relSizeAnchor xmlns:cdr="http://schemas.openxmlformats.org/drawingml/2006/chartDrawing">
    <cdr:from>
      <cdr:x>0.13903</cdr:x>
      <cdr:y>0.11258</cdr:y>
    </cdr:from>
    <cdr:to>
      <cdr:x>0.24467</cdr:x>
      <cdr:y>0.1442</cdr:y>
    </cdr:to>
    <cdr:sp macro="" textlink="">
      <cdr:nvSpPr>
        <cdr:cNvPr id="5" name="CuadroTexto 1">
          <a:extLst xmlns:a="http://schemas.openxmlformats.org/drawingml/2006/main">
            <a:ext uri="{FF2B5EF4-FFF2-40B4-BE49-F238E27FC236}">
              <a16:creationId xmlns:a16="http://schemas.microsoft.com/office/drawing/2014/main" id="{83F0C48C-3F62-418D-8C7B-451A2BC2E1B9}"/>
            </a:ext>
          </a:extLst>
        </cdr:cNvPr>
        <cdr:cNvSpPr txBox="1"/>
      </cdr:nvSpPr>
      <cdr:spPr>
        <a:xfrm xmlns:a="http://schemas.openxmlformats.org/drawingml/2006/main">
          <a:off x="1565275" y="527050"/>
          <a:ext cx="1189331" cy="1480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O" sz="1100" b="1">
              <a:solidFill>
                <a:schemeClr val="bg1"/>
              </a:solidFill>
            </a:rPr>
            <a:t>IMPACTO ALTO</a:t>
          </a:r>
        </a:p>
      </cdr:txBody>
    </cdr:sp>
  </cdr:relSizeAnchor>
  <cdr:relSizeAnchor xmlns:cdr="http://schemas.openxmlformats.org/drawingml/2006/chartDrawing">
    <cdr:from>
      <cdr:x>0.20164</cdr:x>
      <cdr:y>0.26144</cdr:y>
    </cdr:from>
    <cdr:to>
      <cdr:x>0.42978</cdr:x>
      <cdr:y>0.28789</cdr:y>
    </cdr:to>
    <cdr:sp macro="" textlink="">
      <cdr:nvSpPr>
        <cdr:cNvPr id="6" name="Abrir corchete 5">
          <a:extLst xmlns:a="http://schemas.openxmlformats.org/drawingml/2006/main">
            <a:ext uri="{FF2B5EF4-FFF2-40B4-BE49-F238E27FC236}">
              <a16:creationId xmlns:a16="http://schemas.microsoft.com/office/drawing/2014/main" id="{B975AF54-6B3A-4D15-B7AF-4E6BA2A43A58}"/>
            </a:ext>
          </a:extLst>
        </cdr:cNvPr>
        <cdr:cNvSpPr/>
      </cdr:nvSpPr>
      <cdr:spPr>
        <a:xfrm xmlns:a="http://schemas.openxmlformats.org/drawingml/2006/main" rot="5400000">
          <a:off x="3492499" y="1589"/>
          <a:ext cx="123828" cy="2568576"/>
        </a:xfrm>
        <a:prstGeom xmlns:a="http://schemas.openxmlformats.org/drawingml/2006/main" prst="leftBracket">
          <a:avLst/>
        </a:prstGeom>
        <a:ln xmlns:a="http://schemas.openxmlformats.org/drawingml/2006/main" w="76200">
          <a:solidFill>
            <a:srgbClr val="FFFF00"/>
          </a:solidFill>
        </a:ln>
      </cdr:spPr>
      <cdr:style>
        <a:lnRef xmlns:a="http://schemas.openxmlformats.org/drawingml/2006/main" idx="3">
          <a:schemeClr val="accent1"/>
        </a:lnRef>
        <a:fillRef xmlns:a="http://schemas.openxmlformats.org/drawingml/2006/main" idx="0">
          <a:schemeClr val="accent1"/>
        </a:fillRef>
        <a:effectRef xmlns:a="http://schemas.openxmlformats.org/drawingml/2006/main" idx="2">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s-CO" sz="1100"/>
        </a:p>
      </cdr:txBody>
    </cdr:sp>
  </cdr:relSizeAnchor>
  <cdr:relSizeAnchor xmlns:cdr="http://schemas.openxmlformats.org/drawingml/2006/chartDrawing">
    <cdr:from>
      <cdr:x>0.25917</cdr:x>
      <cdr:y>0.19396</cdr:y>
    </cdr:from>
    <cdr:to>
      <cdr:x>0.3648</cdr:x>
      <cdr:y>0.22559</cdr:y>
    </cdr:to>
    <cdr:sp macro="" textlink="">
      <cdr:nvSpPr>
        <cdr:cNvPr id="7" name="CuadroTexto 1">
          <a:extLst xmlns:a="http://schemas.openxmlformats.org/drawingml/2006/main">
            <a:ext uri="{FF2B5EF4-FFF2-40B4-BE49-F238E27FC236}">
              <a16:creationId xmlns:a16="http://schemas.microsoft.com/office/drawing/2014/main" id="{AF6D9DFB-2C6B-4058-AEB6-F399094C7D9B}"/>
            </a:ext>
          </a:extLst>
        </cdr:cNvPr>
        <cdr:cNvSpPr txBox="1"/>
      </cdr:nvSpPr>
      <cdr:spPr>
        <a:xfrm xmlns:a="http://schemas.openxmlformats.org/drawingml/2006/main">
          <a:off x="2917825" y="908050"/>
          <a:ext cx="1189331" cy="1480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O" sz="1100" b="1">
              <a:solidFill>
                <a:schemeClr val="bg1"/>
              </a:solidFill>
            </a:rPr>
            <a:t>IMPACTO MEDIO	</a:t>
          </a:r>
        </a:p>
      </cdr:txBody>
    </cdr:sp>
  </cdr:relSizeAnchor>
  <cdr:relSizeAnchor xmlns:cdr="http://schemas.openxmlformats.org/drawingml/2006/chartDrawing">
    <cdr:from>
      <cdr:x>0.4436</cdr:x>
      <cdr:y>0.38522</cdr:y>
    </cdr:from>
    <cdr:to>
      <cdr:x>0.61591</cdr:x>
      <cdr:y>0.40997</cdr:y>
    </cdr:to>
    <cdr:sp macro="" textlink="">
      <cdr:nvSpPr>
        <cdr:cNvPr id="8" name="Abrir corchete 7">
          <a:extLst xmlns:a="http://schemas.openxmlformats.org/drawingml/2006/main">
            <a:ext uri="{FF2B5EF4-FFF2-40B4-BE49-F238E27FC236}">
              <a16:creationId xmlns:a16="http://schemas.microsoft.com/office/drawing/2014/main" id="{F3046929-4423-4D06-B42B-7E16C517C681}"/>
            </a:ext>
          </a:extLst>
        </cdr:cNvPr>
        <cdr:cNvSpPr/>
      </cdr:nvSpPr>
      <cdr:spPr>
        <a:xfrm xmlns:a="http://schemas.openxmlformats.org/drawingml/2006/main" rot="5400000">
          <a:off x="5906294" y="891381"/>
          <a:ext cx="115888" cy="1939926"/>
        </a:xfrm>
        <a:prstGeom xmlns:a="http://schemas.openxmlformats.org/drawingml/2006/main" prst="leftBracket">
          <a:avLst/>
        </a:prstGeom>
        <a:ln xmlns:a="http://schemas.openxmlformats.org/drawingml/2006/main" w="76200">
          <a:solidFill>
            <a:schemeClr val="accent6">
              <a:lumMod val="60000"/>
              <a:lumOff val="40000"/>
            </a:schemeClr>
          </a:solidFill>
        </a:ln>
      </cdr:spPr>
      <cdr:style>
        <a:lnRef xmlns:a="http://schemas.openxmlformats.org/drawingml/2006/main" idx="3">
          <a:schemeClr val="accent1"/>
        </a:lnRef>
        <a:fillRef xmlns:a="http://schemas.openxmlformats.org/drawingml/2006/main" idx="0">
          <a:schemeClr val="accent1"/>
        </a:fillRef>
        <a:effectRef xmlns:a="http://schemas.openxmlformats.org/drawingml/2006/main" idx="2">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s-CO" sz="1100"/>
        </a:p>
      </cdr:txBody>
    </cdr:sp>
  </cdr:relSizeAnchor>
  <cdr:relSizeAnchor xmlns:cdr="http://schemas.openxmlformats.org/drawingml/2006/chartDrawing">
    <cdr:from>
      <cdr:x>0.4859</cdr:x>
      <cdr:y>0.32214</cdr:y>
    </cdr:from>
    <cdr:to>
      <cdr:x>0.59154</cdr:x>
      <cdr:y>0.35377</cdr:y>
    </cdr:to>
    <cdr:sp macro="" textlink="">
      <cdr:nvSpPr>
        <cdr:cNvPr id="10" name="CuadroTexto 1">
          <a:extLst xmlns:a="http://schemas.openxmlformats.org/drawingml/2006/main">
            <a:ext uri="{FF2B5EF4-FFF2-40B4-BE49-F238E27FC236}">
              <a16:creationId xmlns:a16="http://schemas.microsoft.com/office/drawing/2014/main" id="{0F683CF0-055B-41EC-84D7-D0AF128AD7EE}"/>
            </a:ext>
          </a:extLst>
        </cdr:cNvPr>
        <cdr:cNvSpPr txBox="1"/>
      </cdr:nvSpPr>
      <cdr:spPr>
        <a:xfrm xmlns:a="http://schemas.openxmlformats.org/drawingml/2006/main">
          <a:off x="5470525" y="1508125"/>
          <a:ext cx="1189331" cy="1480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O" sz="1100" b="1">
              <a:solidFill>
                <a:schemeClr val="bg1"/>
              </a:solidFill>
            </a:rPr>
            <a:t>IMPACTO BAJO</a:t>
          </a:r>
        </a:p>
      </cdr:txBody>
    </cdr:sp>
  </cdr:relSizeAnchor>
  <cdr:relSizeAnchor xmlns:cdr="http://schemas.openxmlformats.org/drawingml/2006/chartDrawing">
    <cdr:from>
      <cdr:x>0.62296</cdr:x>
      <cdr:y>0.45473</cdr:y>
    </cdr:from>
    <cdr:to>
      <cdr:x>0.95262</cdr:x>
      <cdr:y>0.48118</cdr:y>
    </cdr:to>
    <cdr:sp macro="" textlink="">
      <cdr:nvSpPr>
        <cdr:cNvPr id="11" name="Abrir corchete 10">
          <a:extLst xmlns:a="http://schemas.openxmlformats.org/drawingml/2006/main">
            <a:ext uri="{FF2B5EF4-FFF2-40B4-BE49-F238E27FC236}">
              <a16:creationId xmlns:a16="http://schemas.microsoft.com/office/drawing/2014/main" id="{A82A3436-7C55-484C-94E3-201558980FD5}"/>
            </a:ext>
          </a:extLst>
        </cdr:cNvPr>
        <cdr:cNvSpPr/>
      </cdr:nvSpPr>
      <cdr:spPr>
        <a:xfrm xmlns:a="http://schemas.openxmlformats.org/drawingml/2006/main" rot="5400000">
          <a:off x="8807450" y="334966"/>
          <a:ext cx="123825" cy="3711576"/>
        </a:xfrm>
        <a:prstGeom xmlns:a="http://schemas.openxmlformats.org/drawingml/2006/main" prst="leftBracket">
          <a:avLst/>
        </a:prstGeom>
        <a:ln xmlns:a="http://schemas.openxmlformats.org/drawingml/2006/main" w="76200">
          <a:solidFill>
            <a:schemeClr val="accent1">
              <a:lumMod val="60000"/>
              <a:lumOff val="40000"/>
            </a:schemeClr>
          </a:solidFill>
        </a:ln>
      </cdr:spPr>
      <cdr:style>
        <a:lnRef xmlns:a="http://schemas.openxmlformats.org/drawingml/2006/main" idx="3">
          <a:schemeClr val="accent1"/>
        </a:lnRef>
        <a:fillRef xmlns:a="http://schemas.openxmlformats.org/drawingml/2006/main" idx="0">
          <a:schemeClr val="accent1"/>
        </a:fillRef>
        <a:effectRef xmlns:a="http://schemas.openxmlformats.org/drawingml/2006/main" idx="2">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s-CO" sz="1100"/>
        </a:p>
      </cdr:txBody>
    </cdr:sp>
  </cdr:relSizeAnchor>
  <cdr:relSizeAnchor xmlns:cdr="http://schemas.openxmlformats.org/drawingml/2006/chartDrawing">
    <cdr:from>
      <cdr:x>0.74478</cdr:x>
      <cdr:y>0.39335</cdr:y>
    </cdr:from>
    <cdr:to>
      <cdr:x>0.85042</cdr:x>
      <cdr:y>0.42498</cdr:y>
    </cdr:to>
    <cdr:sp macro="" textlink="">
      <cdr:nvSpPr>
        <cdr:cNvPr id="12" name="CuadroTexto 1">
          <a:extLst xmlns:a="http://schemas.openxmlformats.org/drawingml/2006/main">
            <a:ext uri="{FF2B5EF4-FFF2-40B4-BE49-F238E27FC236}">
              <a16:creationId xmlns:a16="http://schemas.microsoft.com/office/drawing/2014/main" id="{A8D76899-B6CB-43D1-9AB5-328EAF219DA0}"/>
            </a:ext>
          </a:extLst>
        </cdr:cNvPr>
        <cdr:cNvSpPr txBox="1"/>
      </cdr:nvSpPr>
      <cdr:spPr>
        <a:xfrm xmlns:a="http://schemas.openxmlformats.org/drawingml/2006/main">
          <a:off x="8385175" y="1841500"/>
          <a:ext cx="1189331" cy="14805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O" sz="1100" b="1">
              <a:solidFill>
                <a:schemeClr val="bg1"/>
              </a:solidFill>
            </a:rPr>
            <a:t>SIN IMPACTO</a:t>
          </a: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152400</xdr:colOff>
      <xdr:row>35</xdr:row>
      <xdr:rowOff>100011</xdr:rowOff>
    </xdr:from>
    <xdr:to>
      <xdr:col>15</xdr:col>
      <xdr:colOff>400050</xdr:colOff>
      <xdr:row>56</xdr:row>
      <xdr:rowOff>66674</xdr:rowOff>
    </xdr:to>
    <xdr:graphicFrame macro="">
      <xdr:nvGraphicFramePr>
        <xdr:cNvPr id="5" name="Gráfico 4">
          <a:extLst>
            <a:ext uri="{FF2B5EF4-FFF2-40B4-BE49-F238E27FC236}">
              <a16:creationId xmlns:a16="http://schemas.microsoft.com/office/drawing/2014/main" id="{84C898FB-99CE-4125-9BCF-5E68FCA2C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19</xdr:col>
      <xdr:colOff>36571</xdr:colOff>
      <xdr:row>40</xdr:row>
      <xdr:rowOff>27643</xdr:rowOff>
    </xdr:to>
    <xdr:pic>
      <xdr:nvPicPr>
        <xdr:cNvPr id="5" name="Imagen 4">
          <a:extLst>
            <a:ext uri="{FF2B5EF4-FFF2-40B4-BE49-F238E27FC236}">
              <a16:creationId xmlns:a16="http://schemas.microsoft.com/office/drawing/2014/main" id="{DA3E5A34-24E2-2AAE-7320-4594D939B244}"/>
            </a:ext>
          </a:extLst>
        </xdr:cNvPr>
        <xdr:cNvPicPr>
          <a:picLocks noChangeAspect="1"/>
        </xdr:cNvPicPr>
      </xdr:nvPicPr>
      <xdr:blipFill>
        <a:blip xmlns:r="http://schemas.openxmlformats.org/officeDocument/2006/relationships" r:embed="rId1"/>
        <a:stretch>
          <a:fillRect/>
        </a:stretch>
      </xdr:blipFill>
      <xdr:spPr>
        <a:xfrm>
          <a:off x="2286000" y="190500"/>
          <a:ext cx="12228571" cy="7457143"/>
        </a:xfrm>
        <a:prstGeom prst="rect">
          <a:avLst/>
        </a:prstGeom>
      </xdr:spPr>
    </xdr:pic>
    <xdr:clientData/>
  </xdr:twoCellAnchor>
  <xdr:twoCellAnchor editAs="oneCell">
    <xdr:from>
      <xdr:col>3</xdr:col>
      <xdr:colOff>133350</xdr:colOff>
      <xdr:row>40</xdr:row>
      <xdr:rowOff>0</xdr:rowOff>
    </xdr:from>
    <xdr:to>
      <xdr:col>18</xdr:col>
      <xdr:colOff>141445</xdr:colOff>
      <xdr:row>80</xdr:row>
      <xdr:rowOff>27619</xdr:rowOff>
    </xdr:to>
    <xdr:pic>
      <xdr:nvPicPr>
        <xdr:cNvPr id="6" name="Imagen 5">
          <a:extLst>
            <a:ext uri="{FF2B5EF4-FFF2-40B4-BE49-F238E27FC236}">
              <a16:creationId xmlns:a16="http://schemas.microsoft.com/office/drawing/2014/main" id="{5063A6A6-08B6-FCD5-2B92-B61209C512EF}"/>
            </a:ext>
          </a:extLst>
        </xdr:cNvPr>
        <xdr:cNvPicPr>
          <a:picLocks noChangeAspect="1"/>
        </xdr:cNvPicPr>
      </xdr:nvPicPr>
      <xdr:blipFill>
        <a:blip xmlns:r="http://schemas.openxmlformats.org/officeDocument/2006/relationships" r:embed="rId2"/>
        <a:stretch>
          <a:fillRect/>
        </a:stretch>
      </xdr:blipFill>
      <xdr:spPr>
        <a:xfrm>
          <a:off x="2419350" y="7620000"/>
          <a:ext cx="11438095" cy="76476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180975</xdr:colOff>
      <xdr:row>9</xdr:row>
      <xdr:rowOff>180975</xdr:rowOff>
    </xdr:to>
    <xdr:cxnSp macro="">
      <xdr:nvCxnSpPr>
        <xdr:cNvPr id="3" name="Conector recto de flecha 2">
          <a:extLst>
            <a:ext uri="{FF2B5EF4-FFF2-40B4-BE49-F238E27FC236}">
              <a16:creationId xmlns:a16="http://schemas.microsoft.com/office/drawing/2014/main" id="{D241D04C-5F44-49C4-97CF-EF64CE98BFC5}"/>
            </a:ext>
          </a:extLst>
        </xdr:cNvPr>
        <xdr:cNvCxnSpPr/>
      </xdr:nvCxnSpPr>
      <xdr:spPr>
        <a:xfrm>
          <a:off x="762000" y="190500"/>
          <a:ext cx="942975" cy="1514475"/>
        </a:xfrm>
        <a:prstGeom prst="straightConnector1">
          <a:avLst/>
        </a:prstGeom>
        <a:ln w="285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447675</xdr:colOff>
      <xdr:row>5</xdr:row>
      <xdr:rowOff>180975</xdr:rowOff>
    </xdr:from>
    <xdr:to>
      <xdr:col>4</xdr:col>
      <xdr:colOff>514350</xdr:colOff>
      <xdr:row>6</xdr:row>
      <xdr:rowOff>0</xdr:rowOff>
    </xdr:to>
    <xdr:cxnSp macro="">
      <xdr:nvCxnSpPr>
        <xdr:cNvPr id="5" name="Conector recto 4">
          <a:extLst>
            <a:ext uri="{FF2B5EF4-FFF2-40B4-BE49-F238E27FC236}">
              <a16:creationId xmlns:a16="http://schemas.microsoft.com/office/drawing/2014/main" id="{9656FDDD-3491-49A9-B6F1-53CD2CF8B205}"/>
            </a:ext>
          </a:extLst>
        </xdr:cNvPr>
        <xdr:cNvCxnSpPr/>
      </xdr:nvCxnSpPr>
      <xdr:spPr>
        <a:xfrm>
          <a:off x="1209675" y="942975"/>
          <a:ext cx="159067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752475</xdr:colOff>
      <xdr:row>9</xdr:row>
      <xdr:rowOff>114300</xdr:rowOff>
    </xdr:from>
    <xdr:to>
      <xdr:col>12</xdr:col>
      <xdr:colOff>0</xdr:colOff>
      <xdr:row>11</xdr:row>
      <xdr:rowOff>76200</xdr:rowOff>
    </xdr:to>
    <xdr:sp macro="" textlink="">
      <xdr:nvSpPr>
        <xdr:cNvPr id="6" name="Flecha: a la derecha 5">
          <a:extLst>
            <a:ext uri="{FF2B5EF4-FFF2-40B4-BE49-F238E27FC236}">
              <a16:creationId xmlns:a16="http://schemas.microsoft.com/office/drawing/2014/main" id="{F327D708-839A-4AFB-BF5E-818FD4ACBB3D}"/>
            </a:ext>
          </a:extLst>
        </xdr:cNvPr>
        <xdr:cNvSpPr/>
      </xdr:nvSpPr>
      <xdr:spPr>
        <a:xfrm>
          <a:off x="752475" y="1638300"/>
          <a:ext cx="7629525" cy="342900"/>
        </a:xfrm>
        <a:prstGeom prst="rightArrow">
          <a:avLst/>
        </a:prstGeom>
        <a:solidFill>
          <a:schemeClr val="accent6">
            <a:lumMod val="5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238125</xdr:colOff>
      <xdr:row>4</xdr:row>
      <xdr:rowOff>0</xdr:rowOff>
    </xdr:from>
    <xdr:to>
      <xdr:col>4</xdr:col>
      <xdr:colOff>285750</xdr:colOff>
      <xdr:row>4</xdr:row>
      <xdr:rowOff>9525</xdr:rowOff>
    </xdr:to>
    <xdr:cxnSp macro="">
      <xdr:nvCxnSpPr>
        <xdr:cNvPr id="8" name="Conector recto 7">
          <a:extLst>
            <a:ext uri="{FF2B5EF4-FFF2-40B4-BE49-F238E27FC236}">
              <a16:creationId xmlns:a16="http://schemas.microsoft.com/office/drawing/2014/main" id="{F5B04A4B-DF0F-4EB0-8DF9-DDEA25E5D0C3}"/>
            </a:ext>
          </a:extLst>
        </xdr:cNvPr>
        <xdr:cNvCxnSpPr/>
      </xdr:nvCxnSpPr>
      <xdr:spPr>
        <a:xfrm flipV="1">
          <a:off x="1000125" y="57150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752475</xdr:colOff>
      <xdr:row>5</xdr:row>
      <xdr:rowOff>180975</xdr:rowOff>
    </xdr:from>
    <xdr:to>
      <xdr:col>17</xdr:col>
      <xdr:colOff>0</xdr:colOff>
      <xdr:row>6</xdr:row>
      <xdr:rowOff>9525</xdr:rowOff>
    </xdr:to>
    <xdr:cxnSp macro="">
      <xdr:nvCxnSpPr>
        <xdr:cNvPr id="15" name="Conector recto 14">
          <a:extLst>
            <a:ext uri="{FF2B5EF4-FFF2-40B4-BE49-F238E27FC236}">
              <a16:creationId xmlns:a16="http://schemas.microsoft.com/office/drawing/2014/main" id="{3CE35715-2BE3-4447-AF3C-085B4F99669E}"/>
            </a:ext>
          </a:extLst>
        </xdr:cNvPr>
        <xdr:cNvCxnSpPr/>
      </xdr:nvCxnSpPr>
      <xdr:spPr>
        <a:xfrm>
          <a:off x="2276475" y="1133475"/>
          <a:ext cx="1581150" cy="190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10</xdr:row>
      <xdr:rowOff>171451</xdr:rowOff>
    </xdr:from>
    <xdr:to>
      <xdr:col>3</xdr:col>
      <xdr:colOff>180975</xdr:colOff>
      <xdr:row>19</xdr:row>
      <xdr:rowOff>180975</xdr:rowOff>
    </xdr:to>
    <xdr:cxnSp macro="">
      <xdr:nvCxnSpPr>
        <xdr:cNvPr id="22" name="Conector recto de flecha 21">
          <a:extLst>
            <a:ext uri="{FF2B5EF4-FFF2-40B4-BE49-F238E27FC236}">
              <a16:creationId xmlns:a16="http://schemas.microsoft.com/office/drawing/2014/main" id="{5451B12F-08EF-4592-888E-D75EE1DE2C7E}"/>
            </a:ext>
          </a:extLst>
        </xdr:cNvPr>
        <xdr:cNvCxnSpPr/>
      </xdr:nvCxnSpPr>
      <xdr:spPr>
        <a:xfrm flipV="1">
          <a:off x="762000" y="1885951"/>
          <a:ext cx="942975" cy="1724024"/>
        </a:xfrm>
        <a:prstGeom prst="straightConnector1">
          <a:avLst/>
        </a:prstGeom>
        <a:ln w="285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695325</xdr:colOff>
      <xdr:row>8</xdr:row>
      <xdr:rowOff>0</xdr:rowOff>
    </xdr:from>
    <xdr:to>
      <xdr:col>5</xdr:col>
      <xdr:colOff>0</xdr:colOff>
      <xdr:row>8</xdr:row>
      <xdr:rowOff>9525</xdr:rowOff>
    </xdr:to>
    <xdr:cxnSp macro="">
      <xdr:nvCxnSpPr>
        <xdr:cNvPr id="26" name="Conector recto 25">
          <a:extLst>
            <a:ext uri="{FF2B5EF4-FFF2-40B4-BE49-F238E27FC236}">
              <a16:creationId xmlns:a16="http://schemas.microsoft.com/office/drawing/2014/main" id="{38B8BDF4-A9E6-418F-953B-401B7F798E63}"/>
            </a:ext>
          </a:extLst>
        </xdr:cNvPr>
        <xdr:cNvCxnSpPr/>
      </xdr:nvCxnSpPr>
      <xdr:spPr>
        <a:xfrm>
          <a:off x="1457325" y="1333500"/>
          <a:ext cx="159067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xdr:row>
      <xdr:rowOff>0</xdr:rowOff>
    </xdr:from>
    <xdr:to>
      <xdr:col>6</xdr:col>
      <xdr:colOff>180975</xdr:colOff>
      <xdr:row>9</xdr:row>
      <xdr:rowOff>180975</xdr:rowOff>
    </xdr:to>
    <xdr:cxnSp macro="">
      <xdr:nvCxnSpPr>
        <xdr:cNvPr id="31" name="Conector recto de flecha 30">
          <a:extLst>
            <a:ext uri="{FF2B5EF4-FFF2-40B4-BE49-F238E27FC236}">
              <a16:creationId xmlns:a16="http://schemas.microsoft.com/office/drawing/2014/main" id="{94933D11-1DFE-47BD-AD48-9F84610A0E20}"/>
            </a:ext>
          </a:extLst>
        </xdr:cNvPr>
        <xdr:cNvCxnSpPr/>
      </xdr:nvCxnSpPr>
      <xdr:spPr>
        <a:xfrm>
          <a:off x="762000" y="190500"/>
          <a:ext cx="942975" cy="1514475"/>
        </a:xfrm>
        <a:prstGeom prst="straightConnector1">
          <a:avLst/>
        </a:prstGeom>
        <a:ln w="285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447675</xdr:colOff>
      <xdr:row>5</xdr:row>
      <xdr:rowOff>180975</xdr:rowOff>
    </xdr:from>
    <xdr:to>
      <xdr:col>7</xdr:col>
      <xdr:colOff>514350</xdr:colOff>
      <xdr:row>6</xdr:row>
      <xdr:rowOff>0</xdr:rowOff>
    </xdr:to>
    <xdr:cxnSp macro="">
      <xdr:nvCxnSpPr>
        <xdr:cNvPr id="32" name="Conector recto 31">
          <a:extLst>
            <a:ext uri="{FF2B5EF4-FFF2-40B4-BE49-F238E27FC236}">
              <a16:creationId xmlns:a16="http://schemas.microsoft.com/office/drawing/2014/main" id="{5B02DEC9-1CCB-455C-8010-C8C1AA62664E}"/>
            </a:ext>
          </a:extLst>
        </xdr:cNvPr>
        <xdr:cNvCxnSpPr/>
      </xdr:nvCxnSpPr>
      <xdr:spPr>
        <a:xfrm>
          <a:off x="1209675" y="942975"/>
          <a:ext cx="159067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238125</xdr:colOff>
      <xdr:row>4</xdr:row>
      <xdr:rowOff>0</xdr:rowOff>
    </xdr:from>
    <xdr:to>
      <xdr:col>7</xdr:col>
      <xdr:colOff>285750</xdr:colOff>
      <xdr:row>4</xdr:row>
      <xdr:rowOff>9525</xdr:rowOff>
    </xdr:to>
    <xdr:cxnSp macro="">
      <xdr:nvCxnSpPr>
        <xdr:cNvPr id="33" name="Conector recto 32">
          <a:extLst>
            <a:ext uri="{FF2B5EF4-FFF2-40B4-BE49-F238E27FC236}">
              <a16:creationId xmlns:a16="http://schemas.microsoft.com/office/drawing/2014/main" id="{92AFA871-EF6A-4F19-A041-2C6794DED768}"/>
            </a:ext>
          </a:extLst>
        </xdr:cNvPr>
        <xdr:cNvCxnSpPr/>
      </xdr:nvCxnSpPr>
      <xdr:spPr>
        <a:xfrm flipV="1">
          <a:off x="1000125" y="57150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695325</xdr:colOff>
      <xdr:row>8</xdr:row>
      <xdr:rowOff>0</xdr:rowOff>
    </xdr:from>
    <xdr:to>
      <xdr:col>8</xdr:col>
      <xdr:colOff>0</xdr:colOff>
      <xdr:row>8</xdr:row>
      <xdr:rowOff>9525</xdr:rowOff>
    </xdr:to>
    <xdr:cxnSp macro="">
      <xdr:nvCxnSpPr>
        <xdr:cNvPr id="34" name="Conector recto 33">
          <a:extLst>
            <a:ext uri="{FF2B5EF4-FFF2-40B4-BE49-F238E27FC236}">
              <a16:creationId xmlns:a16="http://schemas.microsoft.com/office/drawing/2014/main" id="{7A301383-1456-4AEE-8664-8BA72557AA4F}"/>
            </a:ext>
          </a:extLst>
        </xdr:cNvPr>
        <xdr:cNvCxnSpPr/>
      </xdr:nvCxnSpPr>
      <xdr:spPr>
        <a:xfrm>
          <a:off x="1457325" y="1333500"/>
          <a:ext cx="159067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xdr:row>
      <xdr:rowOff>0</xdr:rowOff>
    </xdr:from>
    <xdr:to>
      <xdr:col>9</xdr:col>
      <xdr:colOff>180975</xdr:colOff>
      <xdr:row>9</xdr:row>
      <xdr:rowOff>180975</xdr:rowOff>
    </xdr:to>
    <xdr:cxnSp macro="">
      <xdr:nvCxnSpPr>
        <xdr:cNvPr id="35" name="Conector recto de flecha 34">
          <a:extLst>
            <a:ext uri="{FF2B5EF4-FFF2-40B4-BE49-F238E27FC236}">
              <a16:creationId xmlns:a16="http://schemas.microsoft.com/office/drawing/2014/main" id="{B0041AFC-B5CC-4884-9510-9B8E484E44D5}"/>
            </a:ext>
          </a:extLst>
        </xdr:cNvPr>
        <xdr:cNvCxnSpPr/>
      </xdr:nvCxnSpPr>
      <xdr:spPr>
        <a:xfrm>
          <a:off x="762000" y="190500"/>
          <a:ext cx="942975" cy="1514475"/>
        </a:xfrm>
        <a:prstGeom prst="straightConnector1">
          <a:avLst/>
        </a:prstGeom>
        <a:ln w="285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447675</xdr:colOff>
      <xdr:row>5</xdr:row>
      <xdr:rowOff>180975</xdr:rowOff>
    </xdr:from>
    <xdr:to>
      <xdr:col>10</xdr:col>
      <xdr:colOff>514350</xdr:colOff>
      <xdr:row>6</xdr:row>
      <xdr:rowOff>0</xdr:rowOff>
    </xdr:to>
    <xdr:cxnSp macro="">
      <xdr:nvCxnSpPr>
        <xdr:cNvPr id="36" name="Conector recto 35">
          <a:extLst>
            <a:ext uri="{FF2B5EF4-FFF2-40B4-BE49-F238E27FC236}">
              <a16:creationId xmlns:a16="http://schemas.microsoft.com/office/drawing/2014/main" id="{470759BF-D35B-4684-A946-57770461DE5D}"/>
            </a:ext>
          </a:extLst>
        </xdr:cNvPr>
        <xdr:cNvCxnSpPr/>
      </xdr:nvCxnSpPr>
      <xdr:spPr>
        <a:xfrm>
          <a:off x="1209675" y="942975"/>
          <a:ext cx="159067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238125</xdr:colOff>
      <xdr:row>4</xdr:row>
      <xdr:rowOff>0</xdr:rowOff>
    </xdr:from>
    <xdr:to>
      <xdr:col>10</xdr:col>
      <xdr:colOff>285750</xdr:colOff>
      <xdr:row>4</xdr:row>
      <xdr:rowOff>9525</xdr:rowOff>
    </xdr:to>
    <xdr:cxnSp macro="">
      <xdr:nvCxnSpPr>
        <xdr:cNvPr id="37" name="Conector recto 36">
          <a:extLst>
            <a:ext uri="{FF2B5EF4-FFF2-40B4-BE49-F238E27FC236}">
              <a16:creationId xmlns:a16="http://schemas.microsoft.com/office/drawing/2014/main" id="{8B9F0F2F-F3E1-45F0-A480-88D82A8859C8}"/>
            </a:ext>
          </a:extLst>
        </xdr:cNvPr>
        <xdr:cNvCxnSpPr/>
      </xdr:nvCxnSpPr>
      <xdr:spPr>
        <a:xfrm flipV="1">
          <a:off x="1000125" y="57150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695325</xdr:colOff>
      <xdr:row>8</xdr:row>
      <xdr:rowOff>0</xdr:rowOff>
    </xdr:from>
    <xdr:to>
      <xdr:col>11</xdr:col>
      <xdr:colOff>0</xdr:colOff>
      <xdr:row>8</xdr:row>
      <xdr:rowOff>9525</xdr:rowOff>
    </xdr:to>
    <xdr:cxnSp macro="">
      <xdr:nvCxnSpPr>
        <xdr:cNvPr id="38" name="Conector recto 37">
          <a:extLst>
            <a:ext uri="{FF2B5EF4-FFF2-40B4-BE49-F238E27FC236}">
              <a16:creationId xmlns:a16="http://schemas.microsoft.com/office/drawing/2014/main" id="{06D7768B-8E3B-441E-B3DC-13FC304F61CA}"/>
            </a:ext>
          </a:extLst>
        </xdr:cNvPr>
        <xdr:cNvCxnSpPr/>
      </xdr:nvCxnSpPr>
      <xdr:spPr>
        <a:xfrm>
          <a:off x="1457325" y="1333500"/>
          <a:ext cx="159067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209550</xdr:colOff>
      <xdr:row>18</xdr:row>
      <xdr:rowOff>0</xdr:rowOff>
    </xdr:from>
    <xdr:to>
      <xdr:col>4</xdr:col>
      <xdr:colOff>257175</xdr:colOff>
      <xdr:row>18</xdr:row>
      <xdr:rowOff>9525</xdr:rowOff>
    </xdr:to>
    <xdr:cxnSp macro="">
      <xdr:nvCxnSpPr>
        <xdr:cNvPr id="45" name="Conector recto 44">
          <a:extLst>
            <a:ext uri="{FF2B5EF4-FFF2-40B4-BE49-F238E27FC236}">
              <a16:creationId xmlns:a16="http://schemas.microsoft.com/office/drawing/2014/main" id="{3781327C-62B8-4384-BB32-A5F5727B04AE}"/>
            </a:ext>
          </a:extLst>
        </xdr:cNvPr>
        <xdr:cNvCxnSpPr/>
      </xdr:nvCxnSpPr>
      <xdr:spPr>
        <a:xfrm flipV="1">
          <a:off x="971550" y="323850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447675</xdr:colOff>
      <xdr:row>15</xdr:row>
      <xdr:rowOff>171450</xdr:rowOff>
    </xdr:from>
    <xdr:to>
      <xdr:col>4</xdr:col>
      <xdr:colOff>495300</xdr:colOff>
      <xdr:row>15</xdr:row>
      <xdr:rowOff>180975</xdr:rowOff>
    </xdr:to>
    <xdr:cxnSp macro="">
      <xdr:nvCxnSpPr>
        <xdr:cNvPr id="46" name="Conector recto 45">
          <a:extLst>
            <a:ext uri="{FF2B5EF4-FFF2-40B4-BE49-F238E27FC236}">
              <a16:creationId xmlns:a16="http://schemas.microsoft.com/office/drawing/2014/main" id="{28153C33-79C2-40D3-90C3-A122C1550FC8}"/>
            </a:ext>
          </a:extLst>
        </xdr:cNvPr>
        <xdr:cNvCxnSpPr/>
      </xdr:nvCxnSpPr>
      <xdr:spPr>
        <a:xfrm flipV="1">
          <a:off x="1209675" y="283845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733425</xdr:colOff>
      <xdr:row>13</xdr:row>
      <xdr:rowOff>0</xdr:rowOff>
    </xdr:from>
    <xdr:to>
      <xdr:col>5</xdr:col>
      <xdr:colOff>19050</xdr:colOff>
      <xdr:row>13</xdr:row>
      <xdr:rowOff>9525</xdr:rowOff>
    </xdr:to>
    <xdr:cxnSp macro="">
      <xdr:nvCxnSpPr>
        <xdr:cNvPr id="48" name="Conector recto 47">
          <a:extLst>
            <a:ext uri="{FF2B5EF4-FFF2-40B4-BE49-F238E27FC236}">
              <a16:creationId xmlns:a16="http://schemas.microsoft.com/office/drawing/2014/main" id="{3C5C83D4-F5FA-47D5-A383-71AE3B5AA73B}"/>
            </a:ext>
          </a:extLst>
        </xdr:cNvPr>
        <xdr:cNvCxnSpPr/>
      </xdr:nvCxnSpPr>
      <xdr:spPr>
        <a:xfrm flipV="1">
          <a:off x="1495425" y="228600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10</xdr:row>
      <xdr:rowOff>171451</xdr:rowOff>
    </xdr:from>
    <xdr:to>
      <xdr:col>6</xdr:col>
      <xdr:colOff>180975</xdr:colOff>
      <xdr:row>19</xdr:row>
      <xdr:rowOff>171450</xdr:rowOff>
    </xdr:to>
    <xdr:cxnSp macro="">
      <xdr:nvCxnSpPr>
        <xdr:cNvPr id="49" name="Conector recto de flecha 48">
          <a:extLst>
            <a:ext uri="{FF2B5EF4-FFF2-40B4-BE49-F238E27FC236}">
              <a16:creationId xmlns:a16="http://schemas.microsoft.com/office/drawing/2014/main" id="{7A2A5EF1-D9AF-484B-834C-A01AAE584711}"/>
            </a:ext>
          </a:extLst>
        </xdr:cNvPr>
        <xdr:cNvCxnSpPr/>
      </xdr:nvCxnSpPr>
      <xdr:spPr>
        <a:xfrm flipV="1">
          <a:off x="3057525" y="1885951"/>
          <a:ext cx="933450" cy="1714499"/>
        </a:xfrm>
        <a:prstGeom prst="straightConnector1">
          <a:avLst/>
        </a:prstGeom>
        <a:ln w="285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18</xdr:row>
      <xdr:rowOff>0</xdr:rowOff>
    </xdr:from>
    <xdr:to>
      <xdr:col>7</xdr:col>
      <xdr:colOff>257175</xdr:colOff>
      <xdr:row>18</xdr:row>
      <xdr:rowOff>9525</xdr:rowOff>
    </xdr:to>
    <xdr:cxnSp macro="">
      <xdr:nvCxnSpPr>
        <xdr:cNvPr id="50" name="Conector recto 49">
          <a:extLst>
            <a:ext uri="{FF2B5EF4-FFF2-40B4-BE49-F238E27FC236}">
              <a16:creationId xmlns:a16="http://schemas.microsoft.com/office/drawing/2014/main" id="{C6596D83-0CF2-419D-88EC-4060230BD517}"/>
            </a:ext>
          </a:extLst>
        </xdr:cNvPr>
        <xdr:cNvCxnSpPr/>
      </xdr:nvCxnSpPr>
      <xdr:spPr>
        <a:xfrm flipV="1">
          <a:off x="971550" y="323850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447675</xdr:colOff>
      <xdr:row>15</xdr:row>
      <xdr:rowOff>171450</xdr:rowOff>
    </xdr:from>
    <xdr:to>
      <xdr:col>7</xdr:col>
      <xdr:colOff>495300</xdr:colOff>
      <xdr:row>15</xdr:row>
      <xdr:rowOff>180975</xdr:rowOff>
    </xdr:to>
    <xdr:cxnSp macro="">
      <xdr:nvCxnSpPr>
        <xdr:cNvPr id="51" name="Conector recto 50">
          <a:extLst>
            <a:ext uri="{FF2B5EF4-FFF2-40B4-BE49-F238E27FC236}">
              <a16:creationId xmlns:a16="http://schemas.microsoft.com/office/drawing/2014/main" id="{EB82AA7E-302F-4B70-86BE-8DD133F34E42}"/>
            </a:ext>
          </a:extLst>
        </xdr:cNvPr>
        <xdr:cNvCxnSpPr/>
      </xdr:nvCxnSpPr>
      <xdr:spPr>
        <a:xfrm flipV="1">
          <a:off x="1209675" y="283845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733425</xdr:colOff>
      <xdr:row>13</xdr:row>
      <xdr:rowOff>0</xdr:rowOff>
    </xdr:from>
    <xdr:to>
      <xdr:col>8</xdr:col>
      <xdr:colOff>19050</xdr:colOff>
      <xdr:row>13</xdr:row>
      <xdr:rowOff>9525</xdr:rowOff>
    </xdr:to>
    <xdr:cxnSp macro="">
      <xdr:nvCxnSpPr>
        <xdr:cNvPr id="52" name="Conector recto 51">
          <a:extLst>
            <a:ext uri="{FF2B5EF4-FFF2-40B4-BE49-F238E27FC236}">
              <a16:creationId xmlns:a16="http://schemas.microsoft.com/office/drawing/2014/main" id="{6CCB14C9-2C0A-485B-B3AD-AE916B433750}"/>
            </a:ext>
          </a:extLst>
        </xdr:cNvPr>
        <xdr:cNvCxnSpPr/>
      </xdr:nvCxnSpPr>
      <xdr:spPr>
        <a:xfrm flipV="1">
          <a:off x="1495425" y="228600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10</xdr:row>
      <xdr:rowOff>171451</xdr:rowOff>
    </xdr:from>
    <xdr:to>
      <xdr:col>9</xdr:col>
      <xdr:colOff>180975</xdr:colOff>
      <xdr:row>19</xdr:row>
      <xdr:rowOff>180975</xdr:rowOff>
    </xdr:to>
    <xdr:cxnSp macro="">
      <xdr:nvCxnSpPr>
        <xdr:cNvPr id="53" name="Conector recto de flecha 52">
          <a:extLst>
            <a:ext uri="{FF2B5EF4-FFF2-40B4-BE49-F238E27FC236}">
              <a16:creationId xmlns:a16="http://schemas.microsoft.com/office/drawing/2014/main" id="{83B94DDB-786F-45F1-BD7C-690F89E75A06}"/>
            </a:ext>
          </a:extLst>
        </xdr:cNvPr>
        <xdr:cNvCxnSpPr/>
      </xdr:nvCxnSpPr>
      <xdr:spPr>
        <a:xfrm flipV="1">
          <a:off x="5334000" y="1885951"/>
          <a:ext cx="942975" cy="1724024"/>
        </a:xfrm>
        <a:prstGeom prst="straightConnector1">
          <a:avLst/>
        </a:prstGeom>
        <a:ln w="28575">
          <a:solidFill>
            <a:schemeClr val="accent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209550</xdr:colOff>
      <xdr:row>18</xdr:row>
      <xdr:rowOff>0</xdr:rowOff>
    </xdr:from>
    <xdr:to>
      <xdr:col>10</xdr:col>
      <xdr:colOff>257175</xdr:colOff>
      <xdr:row>18</xdr:row>
      <xdr:rowOff>9525</xdr:rowOff>
    </xdr:to>
    <xdr:cxnSp macro="">
      <xdr:nvCxnSpPr>
        <xdr:cNvPr id="54" name="Conector recto 53">
          <a:extLst>
            <a:ext uri="{FF2B5EF4-FFF2-40B4-BE49-F238E27FC236}">
              <a16:creationId xmlns:a16="http://schemas.microsoft.com/office/drawing/2014/main" id="{11263C67-C184-480E-BF0A-7EC9227C5B98}"/>
            </a:ext>
          </a:extLst>
        </xdr:cNvPr>
        <xdr:cNvCxnSpPr/>
      </xdr:nvCxnSpPr>
      <xdr:spPr>
        <a:xfrm flipV="1">
          <a:off x="971550" y="323850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447675</xdr:colOff>
      <xdr:row>15</xdr:row>
      <xdr:rowOff>171450</xdr:rowOff>
    </xdr:from>
    <xdr:to>
      <xdr:col>10</xdr:col>
      <xdr:colOff>495300</xdr:colOff>
      <xdr:row>15</xdr:row>
      <xdr:rowOff>180975</xdr:rowOff>
    </xdr:to>
    <xdr:cxnSp macro="">
      <xdr:nvCxnSpPr>
        <xdr:cNvPr id="55" name="Conector recto 54">
          <a:extLst>
            <a:ext uri="{FF2B5EF4-FFF2-40B4-BE49-F238E27FC236}">
              <a16:creationId xmlns:a16="http://schemas.microsoft.com/office/drawing/2014/main" id="{C18D5ACF-94EF-43C9-A2AB-0110C914AFDD}"/>
            </a:ext>
          </a:extLst>
        </xdr:cNvPr>
        <xdr:cNvCxnSpPr/>
      </xdr:nvCxnSpPr>
      <xdr:spPr>
        <a:xfrm flipV="1">
          <a:off x="1209675" y="283845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733425</xdr:colOff>
      <xdr:row>13</xdr:row>
      <xdr:rowOff>0</xdr:rowOff>
    </xdr:from>
    <xdr:to>
      <xdr:col>11</xdr:col>
      <xdr:colOff>19050</xdr:colOff>
      <xdr:row>13</xdr:row>
      <xdr:rowOff>9525</xdr:rowOff>
    </xdr:to>
    <xdr:cxnSp macro="">
      <xdr:nvCxnSpPr>
        <xdr:cNvPr id="56" name="Conector recto 55">
          <a:extLst>
            <a:ext uri="{FF2B5EF4-FFF2-40B4-BE49-F238E27FC236}">
              <a16:creationId xmlns:a16="http://schemas.microsoft.com/office/drawing/2014/main" id="{C09F3646-A2E8-4AB5-A52B-E54624271B0E}"/>
            </a:ext>
          </a:extLst>
        </xdr:cNvPr>
        <xdr:cNvCxnSpPr/>
      </xdr:nvCxnSpPr>
      <xdr:spPr>
        <a:xfrm flipV="1">
          <a:off x="1495425" y="2286000"/>
          <a:ext cx="1571625"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238125</xdr:colOff>
      <xdr:row>8</xdr:row>
      <xdr:rowOff>171450</xdr:rowOff>
    </xdr:from>
    <xdr:to>
      <xdr:col>2</xdr:col>
      <xdr:colOff>104775</xdr:colOff>
      <xdr:row>12</xdr:row>
      <xdr:rowOff>38100</xdr:rowOff>
    </xdr:to>
    <xdr:sp macro="" textlink="">
      <xdr:nvSpPr>
        <xdr:cNvPr id="60" name="Flecha: cheurón 59">
          <a:extLst>
            <a:ext uri="{FF2B5EF4-FFF2-40B4-BE49-F238E27FC236}">
              <a16:creationId xmlns:a16="http://schemas.microsoft.com/office/drawing/2014/main" id="{AB315FA0-C103-4931-A052-851DEBF28448}"/>
            </a:ext>
          </a:extLst>
        </xdr:cNvPr>
        <xdr:cNvSpPr/>
      </xdr:nvSpPr>
      <xdr:spPr>
        <a:xfrm>
          <a:off x="238125" y="1504950"/>
          <a:ext cx="628650" cy="628650"/>
        </a:xfrm>
        <a:prstGeom prst="chevron">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chemeClr val="tx1"/>
            </a:solidFill>
          </a:endParaRPr>
        </a:p>
      </xdr:txBody>
    </xdr:sp>
    <xdr:clientData/>
  </xdr:twoCellAnchor>
  <xdr:twoCellAnchor>
    <xdr:from>
      <xdr:col>11</xdr:col>
      <xdr:colOff>571500</xdr:colOff>
      <xdr:row>6</xdr:row>
      <xdr:rowOff>119067</xdr:rowOff>
    </xdr:from>
    <xdr:to>
      <xdr:col>13</xdr:col>
      <xdr:colOff>509588</xdr:colOff>
      <xdr:row>14</xdr:row>
      <xdr:rowOff>109542</xdr:rowOff>
    </xdr:to>
    <xdr:sp macro="" textlink="">
      <xdr:nvSpPr>
        <xdr:cNvPr id="61" name="Triángulo isósceles 60">
          <a:extLst>
            <a:ext uri="{FF2B5EF4-FFF2-40B4-BE49-F238E27FC236}">
              <a16:creationId xmlns:a16="http://schemas.microsoft.com/office/drawing/2014/main" id="{32CE8E1F-3401-4342-A527-2686BBCE0AF3}"/>
            </a:ext>
          </a:extLst>
        </xdr:cNvPr>
        <xdr:cNvSpPr/>
      </xdr:nvSpPr>
      <xdr:spPr>
        <a:xfrm rot="5400000">
          <a:off x="8165306" y="1097761"/>
          <a:ext cx="1514475" cy="1462088"/>
        </a:xfrm>
        <a:prstGeom prst="triangle">
          <a:avLst>
            <a:gd name="adj" fmla="val 48742"/>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11</xdr:col>
      <xdr:colOff>493562</xdr:colOff>
      <xdr:row>9</xdr:row>
      <xdr:rowOff>21723</xdr:rowOff>
    </xdr:from>
    <xdr:ext cx="1230464" cy="526298"/>
    <xdr:sp macro="" textlink="">
      <xdr:nvSpPr>
        <xdr:cNvPr id="62" name="Rectángulo 61">
          <a:extLst>
            <a:ext uri="{FF2B5EF4-FFF2-40B4-BE49-F238E27FC236}">
              <a16:creationId xmlns:a16="http://schemas.microsoft.com/office/drawing/2014/main" id="{8976AA1E-35C1-4049-BA4A-50FA134822E8}"/>
            </a:ext>
          </a:extLst>
        </xdr:cNvPr>
        <xdr:cNvSpPr/>
      </xdr:nvSpPr>
      <xdr:spPr>
        <a:xfrm>
          <a:off x="8875562" y="1755273"/>
          <a:ext cx="1230464" cy="526298"/>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s-ES" sz="1200" b="1" cap="none" spc="0">
              <a:ln/>
              <a:solidFill>
                <a:schemeClr val="bg1"/>
              </a:solidFill>
              <a:effectLst/>
              <a:latin typeface="Arial Black" panose="020B0A04020102020204" pitchFamily="34" charset="0"/>
            </a:rPr>
            <a:t>SALIDA</a:t>
          </a:r>
          <a:r>
            <a:rPr lang="es-ES" sz="1200" b="1" cap="none" spc="0" baseline="0">
              <a:ln/>
              <a:solidFill>
                <a:schemeClr val="bg1"/>
              </a:solidFill>
              <a:effectLst/>
              <a:latin typeface="Arial Black" panose="020B0A04020102020204" pitchFamily="34" charset="0"/>
            </a:rPr>
            <a:t> NO CONFORME</a:t>
          </a:r>
          <a:endParaRPr lang="es-ES" sz="1200" b="1" cap="none" spc="0">
            <a:ln/>
            <a:solidFill>
              <a:schemeClr val="bg1"/>
            </a:solidFill>
            <a:effectLst/>
            <a:latin typeface="Arial Black" panose="020B0A04020102020204" pitchFamily="34" charset="0"/>
          </a:endParaRPr>
        </a:p>
      </xdr:txBody>
    </xdr:sp>
    <xdr:clientData/>
  </xdr:oneCellAnchor>
  <xdr:oneCellAnchor>
    <xdr:from>
      <xdr:col>2</xdr:col>
      <xdr:colOff>209549</xdr:colOff>
      <xdr:row>2</xdr:row>
      <xdr:rowOff>0</xdr:rowOff>
    </xdr:from>
    <xdr:ext cx="2124075" cy="417807"/>
    <xdr:sp macro="" textlink="">
      <xdr:nvSpPr>
        <xdr:cNvPr id="63" name="Rectángulo 62">
          <a:extLst>
            <a:ext uri="{FF2B5EF4-FFF2-40B4-BE49-F238E27FC236}">
              <a16:creationId xmlns:a16="http://schemas.microsoft.com/office/drawing/2014/main" id="{033B4356-B552-4CE5-B386-8628567BBF8C}"/>
            </a:ext>
          </a:extLst>
        </xdr:cNvPr>
        <xdr:cNvSpPr/>
      </xdr:nvSpPr>
      <xdr:spPr>
        <a:xfrm>
          <a:off x="1733549" y="400050"/>
          <a:ext cx="2124075" cy="417807"/>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PAUSAS ACTIVAS ILUMINACIÓN</a:t>
          </a:r>
        </a:p>
      </xdr:txBody>
    </xdr:sp>
    <xdr:clientData/>
  </xdr:oneCellAnchor>
  <xdr:oneCellAnchor>
    <xdr:from>
      <xdr:col>8</xdr:col>
      <xdr:colOff>628650</xdr:colOff>
      <xdr:row>6</xdr:row>
      <xdr:rowOff>133350</xdr:rowOff>
    </xdr:from>
    <xdr:ext cx="2143125" cy="273152"/>
    <xdr:sp macro="" textlink="">
      <xdr:nvSpPr>
        <xdr:cNvPr id="64" name="Rectángulo 63">
          <a:extLst>
            <a:ext uri="{FF2B5EF4-FFF2-40B4-BE49-F238E27FC236}">
              <a16:creationId xmlns:a16="http://schemas.microsoft.com/office/drawing/2014/main" id="{ACC31D29-A6AD-493A-8246-9B8AF6423F10}"/>
            </a:ext>
          </a:extLst>
        </xdr:cNvPr>
        <xdr:cNvSpPr/>
      </xdr:nvSpPr>
      <xdr:spPr>
        <a:xfrm>
          <a:off x="6724650" y="1295400"/>
          <a:ext cx="2143125" cy="273152"/>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s-ES" sz="1000" b="1" cap="none" spc="0">
              <a:ln/>
              <a:solidFill>
                <a:schemeClr val="tx1"/>
              </a:solidFill>
              <a:effectLst/>
              <a:latin typeface="Arial Black" panose="020B0A04020102020204" pitchFamily="34" charset="0"/>
            </a:rPr>
            <a:t>NO</a:t>
          </a:r>
          <a:r>
            <a:rPr lang="es-ES" sz="1000" b="1" cap="none" spc="0" baseline="0">
              <a:ln/>
              <a:solidFill>
                <a:schemeClr val="tx1"/>
              </a:solidFill>
              <a:effectLst/>
              <a:latin typeface="Arial Black" panose="020B0A04020102020204" pitchFamily="34" charset="0"/>
            </a:rPr>
            <a:t> USAN HERRAMIENTAS</a:t>
          </a:r>
          <a:endParaRPr lang="es-ES" sz="1000" b="1" cap="none" spc="0">
            <a:ln/>
            <a:solidFill>
              <a:schemeClr val="tx1"/>
            </a:solidFill>
            <a:effectLst/>
            <a:latin typeface="Arial Black" panose="020B0A04020102020204" pitchFamily="34" charset="0"/>
          </a:endParaRPr>
        </a:p>
      </xdr:txBody>
    </xdr:sp>
    <xdr:clientData/>
  </xdr:oneCellAnchor>
  <xdr:oneCellAnchor>
    <xdr:from>
      <xdr:col>5</xdr:col>
      <xdr:colOff>657225</xdr:colOff>
      <xdr:row>6</xdr:row>
      <xdr:rowOff>171450</xdr:rowOff>
    </xdr:from>
    <xdr:ext cx="2409825" cy="255070"/>
    <xdr:sp macro="" textlink="">
      <xdr:nvSpPr>
        <xdr:cNvPr id="65" name="Rectángulo 64">
          <a:extLst>
            <a:ext uri="{FF2B5EF4-FFF2-40B4-BE49-F238E27FC236}">
              <a16:creationId xmlns:a16="http://schemas.microsoft.com/office/drawing/2014/main" id="{3BC9A795-C8DD-4E20-8741-26FAF18C121F}"/>
            </a:ext>
          </a:extLst>
        </xdr:cNvPr>
        <xdr:cNvSpPr/>
      </xdr:nvSpPr>
      <xdr:spPr>
        <a:xfrm>
          <a:off x="4467225" y="1333500"/>
          <a:ext cx="2409825"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CONOCIMIENTO DEL PRODUCTO</a:t>
          </a:r>
        </a:p>
      </xdr:txBody>
    </xdr:sp>
    <xdr:clientData/>
  </xdr:oneCellAnchor>
  <xdr:oneCellAnchor>
    <xdr:from>
      <xdr:col>5</xdr:col>
      <xdr:colOff>438151</xdr:colOff>
      <xdr:row>4</xdr:row>
      <xdr:rowOff>142875</xdr:rowOff>
    </xdr:from>
    <xdr:ext cx="1943100" cy="255070"/>
    <xdr:sp macro="" textlink="">
      <xdr:nvSpPr>
        <xdr:cNvPr id="66" name="Rectángulo 65">
          <a:extLst>
            <a:ext uri="{FF2B5EF4-FFF2-40B4-BE49-F238E27FC236}">
              <a16:creationId xmlns:a16="http://schemas.microsoft.com/office/drawing/2014/main" id="{9CB60488-66C2-4BC1-8D2D-BAEAC1003656}"/>
            </a:ext>
          </a:extLst>
        </xdr:cNvPr>
        <xdr:cNvSpPr/>
      </xdr:nvSpPr>
      <xdr:spPr>
        <a:xfrm>
          <a:off x="4248151" y="923925"/>
          <a:ext cx="1943100"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NO SIGUE</a:t>
          </a:r>
          <a:r>
            <a:rPr lang="es-ES" sz="900" b="1" cap="none" spc="0" baseline="0">
              <a:ln/>
              <a:solidFill>
                <a:schemeClr val="tx1"/>
              </a:solidFill>
              <a:effectLst/>
              <a:latin typeface="Arial Black" panose="020B0A04020102020204" pitchFamily="34" charset="0"/>
            </a:rPr>
            <a:t> PROCEDIMIENTO</a:t>
          </a:r>
          <a:endParaRPr lang="es-ES" sz="900" b="1" cap="none" spc="0">
            <a:ln/>
            <a:solidFill>
              <a:schemeClr val="tx1"/>
            </a:solidFill>
            <a:effectLst/>
            <a:latin typeface="Arial Black" panose="020B0A04020102020204" pitchFamily="34" charset="0"/>
          </a:endParaRPr>
        </a:p>
      </xdr:txBody>
    </xdr:sp>
    <xdr:clientData/>
  </xdr:oneCellAnchor>
  <xdr:oneCellAnchor>
    <xdr:from>
      <xdr:col>8</xdr:col>
      <xdr:colOff>381000</xdr:colOff>
      <xdr:row>4</xdr:row>
      <xdr:rowOff>47625</xdr:rowOff>
    </xdr:from>
    <xdr:ext cx="2686050" cy="291234"/>
    <xdr:sp macro="" textlink="">
      <xdr:nvSpPr>
        <xdr:cNvPr id="67" name="Rectángulo 66">
          <a:extLst>
            <a:ext uri="{FF2B5EF4-FFF2-40B4-BE49-F238E27FC236}">
              <a16:creationId xmlns:a16="http://schemas.microsoft.com/office/drawing/2014/main" id="{D5DDB76A-E409-4691-B0F7-70A11CF15FE6}"/>
            </a:ext>
          </a:extLst>
        </xdr:cNvPr>
        <xdr:cNvSpPr/>
      </xdr:nvSpPr>
      <xdr:spPr>
        <a:xfrm>
          <a:off x="6477000" y="828675"/>
          <a:ext cx="2686050" cy="291234"/>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s-ES" sz="1100" b="1" cap="none" spc="0">
              <a:ln/>
              <a:solidFill>
                <a:schemeClr val="tx1"/>
              </a:solidFill>
              <a:effectLst/>
              <a:latin typeface="Arial Black" panose="020B0A04020102020204" pitchFamily="34" charset="0"/>
            </a:rPr>
            <a:t>pérdida de dinamismo operativo</a:t>
          </a:r>
        </a:p>
      </xdr:txBody>
    </xdr:sp>
    <xdr:clientData/>
  </xdr:oneCellAnchor>
  <xdr:oneCellAnchor>
    <xdr:from>
      <xdr:col>8</xdr:col>
      <xdr:colOff>9525</xdr:colOff>
      <xdr:row>2</xdr:row>
      <xdr:rowOff>142875</xdr:rowOff>
    </xdr:from>
    <xdr:ext cx="2124075" cy="255070"/>
    <xdr:sp macro="" textlink="">
      <xdr:nvSpPr>
        <xdr:cNvPr id="69" name="Rectángulo 68">
          <a:extLst>
            <a:ext uri="{FF2B5EF4-FFF2-40B4-BE49-F238E27FC236}">
              <a16:creationId xmlns:a16="http://schemas.microsoft.com/office/drawing/2014/main" id="{48678CBE-ED91-421B-B962-EF788B670C51}"/>
            </a:ext>
          </a:extLst>
        </xdr:cNvPr>
        <xdr:cNvSpPr/>
      </xdr:nvSpPr>
      <xdr:spPr>
        <a:xfrm>
          <a:off x="6105525" y="542925"/>
          <a:ext cx="2124075"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s-ES" sz="900" b="1" cap="none" spc="0">
              <a:ln/>
              <a:solidFill>
                <a:schemeClr val="tx1"/>
              </a:solidFill>
              <a:effectLst/>
              <a:latin typeface="Arial Black" panose="020B0A04020102020204" pitchFamily="34" charset="0"/>
            </a:rPr>
            <a:t>MANEJO DE EMOCIONES</a:t>
          </a:r>
        </a:p>
      </xdr:txBody>
    </xdr:sp>
    <xdr:clientData/>
  </xdr:oneCellAnchor>
  <xdr:oneCellAnchor>
    <xdr:from>
      <xdr:col>5</xdr:col>
      <xdr:colOff>200025</xdr:colOff>
      <xdr:row>2</xdr:row>
      <xdr:rowOff>171450</xdr:rowOff>
    </xdr:from>
    <xdr:ext cx="2000250" cy="255070"/>
    <xdr:sp macro="" textlink="">
      <xdr:nvSpPr>
        <xdr:cNvPr id="70" name="Rectángulo 69">
          <a:extLst>
            <a:ext uri="{FF2B5EF4-FFF2-40B4-BE49-F238E27FC236}">
              <a16:creationId xmlns:a16="http://schemas.microsoft.com/office/drawing/2014/main" id="{ACC1974C-F67A-41C5-99BA-1804778705CB}"/>
            </a:ext>
          </a:extLst>
        </xdr:cNvPr>
        <xdr:cNvSpPr/>
      </xdr:nvSpPr>
      <xdr:spPr>
        <a:xfrm>
          <a:off x="4010025" y="571500"/>
          <a:ext cx="2000250"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NO</a:t>
          </a:r>
          <a:r>
            <a:rPr lang="es-ES" sz="900" b="1" cap="none" spc="0" baseline="0">
              <a:ln/>
              <a:solidFill>
                <a:schemeClr val="tx1"/>
              </a:solidFill>
              <a:effectLst/>
              <a:latin typeface="Arial Black" panose="020B0A04020102020204" pitchFamily="34" charset="0"/>
            </a:rPr>
            <a:t> PROYECTAN IMAGEN </a:t>
          </a:r>
          <a:endParaRPr lang="es-ES" sz="900" b="1" cap="none" spc="0">
            <a:ln/>
            <a:solidFill>
              <a:schemeClr val="tx1"/>
            </a:solidFill>
            <a:effectLst/>
            <a:latin typeface="Arial Black" panose="020B0A04020102020204" pitchFamily="34" charset="0"/>
          </a:endParaRPr>
        </a:p>
      </xdr:txBody>
    </xdr:sp>
    <xdr:clientData/>
  </xdr:oneCellAnchor>
  <xdr:oneCellAnchor>
    <xdr:from>
      <xdr:col>2</xdr:col>
      <xdr:colOff>390525</xdr:colOff>
      <xdr:row>4</xdr:row>
      <xdr:rowOff>123825</xdr:rowOff>
    </xdr:from>
    <xdr:ext cx="2124075" cy="273152"/>
    <xdr:sp macro="" textlink="">
      <xdr:nvSpPr>
        <xdr:cNvPr id="71" name="Rectángulo 70">
          <a:extLst>
            <a:ext uri="{FF2B5EF4-FFF2-40B4-BE49-F238E27FC236}">
              <a16:creationId xmlns:a16="http://schemas.microsoft.com/office/drawing/2014/main" id="{8E826F9F-E12E-4887-9313-572A84C8D930}"/>
            </a:ext>
          </a:extLst>
        </xdr:cNvPr>
        <xdr:cNvSpPr/>
      </xdr:nvSpPr>
      <xdr:spPr>
        <a:xfrm>
          <a:off x="1914525" y="904875"/>
          <a:ext cx="2124075" cy="273152"/>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1000" b="1" cap="none" spc="0">
              <a:ln/>
              <a:solidFill>
                <a:schemeClr val="tx1"/>
              </a:solidFill>
              <a:effectLst/>
              <a:latin typeface="Arial Black" panose="020B0A04020102020204" pitchFamily="34" charset="0"/>
            </a:rPr>
            <a:t>DISTRACCIONES</a:t>
          </a:r>
        </a:p>
      </xdr:txBody>
    </xdr:sp>
    <xdr:clientData/>
  </xdr:oneCellAnchor>
  <xdr:oneCellAnchor>
    <xdr:from>
      <xdr:col>2</xdr:col>
      <xdr:colOff>666750</xdr:colOff>
      <xdr:row>6</xdr:row>
      <xdr:rowOff>161925</xdr:rowOff>
    </xdr:from>
    <xdr:ext cx="2124075" cy="255070"/>
    <xdr:sp macro="" textlink="">
      <xdr:nvSpPr>
        <xdr:cNvPr id="72" name="Rectángulo 71">
          <a:extLst>
            <a:ext uri="{FF2B5EF4-FFF2-40B4-BE49-F238E27FC236}">
              <a16:creationId xmlns:a16="http://schemas.microsoft.com/office/drawing/2014/main" id="{5AA1B23F-4905-409C-A682-C862E2D07B4E}"/>
            </a:ext>
          </a:extLst>
        </xdr:cNvPr>
        <xdr:cNvSpPr/>
      </xdr:nvSpPr>
      <xdr:spPr>
        <a:xfrm>
          <a:off x="2190750" y="1323975"/>
          <a:ext cx="2124075"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TEMPERATURA AMBIENTE</a:t>
          </a:r>
        </a:p>
      </xdr:txBody>
    </xdr:sp>
    <xdr:clientData/>
  </xdr:oneCellAnchor>
  <xdr:oneCellAnchor>
    <xdr:from>
      <xdr:col>2</xdr:col>
      <xdr:colOff>742950</xdr:colOff>
      <xdr:row>11</xdr:row>
      <xdr:rowOff>161925</xdr:rowOff>
    </xdr:from>
    <xdr:ext cx="2409825" cy="255070"/>
    <xdr:sp macro="" textlink="">
      <xdr:nvSpPr>
        <xdr:cNvPr id="73" name="Rectángulo 72">
          <a:extLst>
            <a:ext uri="{FF2B5EF4-FFF2-40B4-BE49-F238E27FC236}">
              <a16:creationId xmlns:a16="http://schemas.microsoft.com/office/drawing/2014/main" id="{A3F5ACD7-9873-4EE6-9B42-1E33282064CF}"/>
            </a:ext>
          </a:extLst>
        </xdr:cNvPr>
        <xdr:cNvSpPr/>
      </xdr:nvSpPr>
      <xdr:spPr>
        <a:xfrm>
          <a:off x="2266950" y="2276475"/>
          <a:ext cx="2409825"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FALLAS</a:t>
          </a:r>
          <a:r>
            <a:rPr lang="es-ES" sz="900" b="1" cap="none" spc="0" baseline="0">
              <a:ln/>
              <a:solidFill>
                <a:schemeClr val="tx1"/>
              </a:solidFill>
              <a:effectLst/>
              <a:latin typeface="Arial Black" panose="020B0A04020102020204" pitchFamily="34" charset="0"/>
            </a:rPr>
            <a:t> TÉCNICAS HARDWARE</a:t>
          </a:r>
          <a:endParaRPr lang="es-ES" sz="900" b="1" cap="none" spc="0">
            <a:ln/>
            <a:solidFill>
              <a:schemeClr val="tx1"/>
            </a:solidFill>
            <a:effectLst/>
            <a:latin typeface="Arial Black" panose="020B0A04020102020204" pitchFamily="34" charset="0"/>
          </a:endParaRPr>
        </a:p>
      </xdr:txBody>
    </xdr:sp>
    <xdr:clientData/>
  </xdr:oneCellAnchor>
  <xdr:twoCellAnchor>
    <xdr:from>
      <xdr:col>20</xdr:col>
      <xdr:colOff>752475</xdr:colOff>
      <xdr:row>10</xdr:row>
      <xdr:rowOff>180975</xdr:rowOff>
    </xdr:from>
    <xdr:to>
      <xdr:col>21</xdr:col>
      <xdr:colOff>0</xdr:colOff>
      <xdr:row>11</xdr:row>
      <xdr:rowOff>9525</xdr:rowOff>
    </xdr:to>
    <xdr:cxnSp macro="">
      <xdr:nvCxnSpPr>
        <xdr:cNvPr id="84" name="Conector recto 83">
          <a:extLst>
            <a:ext uri="{FF2B5EF4-FFF2-40B4-BE49-F238E27FC236}">
              <a16:creationId xmlns:a16="http://schemas.microsoft.com/office/drawing/2014/main" id="{85B35B55-09B8-44CB-A7BA-B5AB546269CF}"/>
            </a:ext>
          </a:extLst>
        </xdr:cNvPr>
        <xdr:cNvCxnSpPr/>
      </xdr:nvCxnSpPr>
      <xdr:spPr>
        <a:xfrm>
          <a:off x="12944475" y="1152525"/>
          <a:ext cx="9525" cy="190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257175</xdr:colOff>
      <xdr:row>16</xdr:row>
      <xdr:rowOff>161925</xdr:rowOff>
    </xdr:from>
    <xdr:ext cx="2371725" cy="255070"/>
    <xdr:sp macro="" textlink="">
      <xdr:nvSpPr>
        <xdr:cNvPr id="85" name="Rectángulo 84">
          <a:extLst>
            <a:ext uri="{FF2B5EF4-FFF2-40B4-BE49-F238E27FC236}">
              <a16:creationId xmlns:a16="http://schemas.microsoft.com/office/drawing/2014/main" id="{2B2C9632-5E85-4AAC-BC87-7F2CE4501A2D}"/>
            </a:ext>
          </a:extLst>
        </xdr:cNvPr>
        <xdr:cNvSpPr/>
      </xdr:nvSpPr>
      <xdr:spPr>
        <a:xfrm>
          <a:off x="4067175" y="3228975"/>
          <a:ext cx="2371725"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BLOQUEO DE OMNICANALIDAD</a:t>
          </a:r>
        </a:p>
      </xdr:txBody>
    </xdr:sp>
    <xdr:clientData/>
  </xdr:oneCellAnchor>
  <xdr:oneCellAnchor>
    <xdr:from>
      <xdr:col>8</xdr:col>
      <xdr:colOff>219075</xdr:colOff>
      <xdr:row>16</xdr:row>
      <xdr:rowOff>114300</xdr:rowOff>
    </xdr:from>
    <xdr:ext cx="2562225" cy="255070"/>
    <xdr:sp macro="" textlink="">
      <xdr:nvSpPr>
        <xdr:cNvPr id="87" name="Rectángulo 86">
          <a:extLst>
            <a:ext uri="{FF2B5EF4-FFF2-40B4-BE49-F238E27FC236}">
              <a16:creationId xmlns:a16="http://schemas.microsoft.com/office/drawing/2014/main" id="{9F05D0E3-BB79-4E91-8543-6445E6D24821}"/>
            </a:ext>
          </a:extLst>
        </xdr:cNvPr>
        <xdr:cNvSpPr/>
      </xdr:nvSpPr>
      <xdr:spPr>
        <a:xfrm>
          <a:off x="6315075" y="3181350"/>
          <a:ext cx="2562225"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s-ES" sz="900" b="1" cap="none" spc="0">
              <a:ln/>
              <a:solidFill>
                <a:schemeClr val="tx1"/>
              </a:solidFill>
              <a:effectLst/>
              <a:latin typeface="Arial Black" panose="020B0A04020102020204" pitchFamily="34" charset="0"/>
            </a:rPr>
            <a:t>CONTROL EN TIEMPOS DE GESTION</a:t>
          </a:r>
        </a:p>
      </xdr:txBody>
    </xdr:sp>
    <xdr:clientData/>
  </xdr:oneCellAnchor>
  <xdr:oneCellAnchor>
    <xdr:from>
      <xdr:col>5</xdr:col>
      <xdr:colOff>523875</xdr:colOff>
      <xdr:row>13</xdr:row>
      <xdr:rowOff>180975</xdr:rowOff>
    </xdr:from>
    <xdr:ext cx="2305050" cy="417807"/>
    <xdr:sp macro="" textlink="">
      <xdr:nvSpPr>
        <xdr:cNvPr id="88" name="Rectángulo 87">
          <a:extLst>
            <a:ext uri="{FF2B5EF4-FFF2-40B4-BE49-F238E27FC236}">
              <a16:creationId xmlns:a16="http://schemas.microsoft.com/office/drawing/2014/main" id="{8B0087D0-C4A6-4100-AAE6-09F159315BD0}"/>
            </a:ext>
          </a:extLst>
        </xdr:cNvPr>
        <xdr:cNvSpPr/>
      </xdr:nvSpPr>
      <xdr:spPr>
        <a:xfrm>
          <a:off x="4333875" y="2676525"/>
          <a:ext cx="2305050" cy="417807"/>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FALLOS</a:t>
          </a:r>
          <a:r>
            <a:rPr lang="es-ES" sz="900" b="1" cap="none" spc="0" baseline="0">
              <a:ln/>
              <a:solidFill>
                <a:schemeClr val="tx1"/>
              </a:solidFill>
              <a:effectLst/>
              <a:latin typeface="Arial Black" panose="020B0A04020102020204" pitchFamily="34" charset="0"/>
            </a:rPr>
            <a:t> CRM, BLOQUEOS USUARIO</a:t>
          </a:r>
          <a:endParaRPr lang="es-ES" sz="900" b="1" cap="none" spc="0">
            <a:ln/>
            <a:solidFill>
              <a:schemeClr val="tx1"/>
            </a:solidFill>
            <a:effectLst/>
            <a:latin typeface="Arial Black" panose="020B0A04020102020204" pitchFamily="34" charset="0"/>
          </a:endParaRPr>
        </a:p>
      </xdr:txBody>
    </xdr:sp>
    <xdr:clientData/>
  </xdr:oneCellAnchor>
  <xdr:oneCellAnchor>
    <xdr:from>
      <xdr:col>9</xdr:col>
      <xdr:colOff>19050</xdr:colOff>
      <xdr:row>11</xdr:row>
      <xdr:rowOff>171450</xdr:rowOff>
    </xdr:from>
    <xdr:ext cx="2124075" cy="255070"/>
    <xdr:sp macro="" textlink="">
      <xdr:nvSpPr>
        <xdr:cNvPr id="89" name="Rectángulo 88">
          <a:extLst>
            <a:ext uri="{FF2B5EF4-FFF2-40B4-BE49-F238E27FC236}">
              <a16:creationId xmlns:a16="http://schemas.microsoft.com/office/drawing/2014/main" id="{57FC5981-B4EC-43C8-98DC-DBFBA45D588C}"/>
            </a:ext>
          </a:extLst>
        </xdr:cNvPr>
        <xdr:cNvSpPr/>
      </xdr:nvSpPr>
      <xdr:spPr>
        <a:xfrm>
          <a:off x="6877050" y="2286000"/>
          <a:ext cx="2124075"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FALTA DE PROYECCIÓN</a:t>
          </a:r>
        </a:p>
      </xdr:txBody>
    </xdr:sp>
    <xdr:clientData/>
  </xdr:oneCellAnchor>
  <xdr:oneCellAnchor>
    <xdr:from>
      <xdr:col>8</xdr:col>
      <xdr:colOff>590550</xdr:colOff>
      <xdr:row>13</xdr:row>
      <xdr:rowOff>171450</xdr:rowOff>
    </xdr:from>
    <xdr:ext cx="2124075" cy="417807"/>
    <xdr:sp macro="" textlink="">
      <xdr:nvSpPr>
        <xdr:cNvPr id="90" name="Rectángulo 89">
          <a:extLst>
            <a:ext uri="{FF2B5EF4-FFF2-40B4-BE49-F238E27FC236}">
              <a16:creationId xmlns:a16="http://schemas.microsoft.com/office/drawing/2014/main" id="{6B83AE51-3CDE-4BBE-98D3-9991CC6019CF}"/>
            </a:ext>
          </a:extLst>
        </xdr:cNvPr>
        <xdr:cNvSpPr/>
      </xdr:nvSpPr>
      <xdr:spPr>
        <a:xfrm>
          <a:off x="6686550" y="2667000"/>
          <a:ext cx="2124075" cy="417807"/>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FALTA AUTOMATIZACIÓN</a:t>
          </a:r>
          <a:r>
            <a:rPr lang="es-ES" sz="900" b="1" cap="none" spc="0" baseline="0">
              <a:ln/>
              <a:solidFill>
                <a:schemeClr val="tx1"/>
              </a:solidFill>
              <a:effectLst/>
              <a:latin typeface="Arial Black" panose="020B0A04020102020204" pitchFamily="34" charset="0"/>
            </a:rPr>
            <a:t> DE CALCULO KPI´S</a:t>
          </a:r>
          <a:endParaRPr lang="es-ES" sz="900" b="1" cap="none" spc="0">
            <a:ln/>
            <a:solidFill>
              <a:schemeClr val="tx1"/>
            </a:solidFill>
            <a:effectLst/>
            <a:latin typeface="Arial Black" panose="020B0A04020102020204" pitchFamily="34" charset="0"/>
          </a:endParaRPr>
        </a:p>
      </xdr:txBody>
    </xdr:sp>
    <xdr:clientData/>
  </xdr:oneCellAnchor>
  <xdr:oneCellAnchor>
    <xdr:from>
      <xdr:col>6</xdr:col>
      <xdr:colOff>19050</xdr:colOff>
      <xdr:row>11</xdr:row>
      <xdr:rowOff>161925</xdr:rowOff>
    </xdr:from>
    <xdr:ext cx="2124075" cy="255070"/>
    <xdr:sp macro="" textlink="">
      <xdr:nvSpPr>
        <xdr:cNvPr id="91" name="Rectángulo 90">
          <a:extLst>
            <a:ext uri="{FF2B5EF4-FFF2-40B4-BE49-F238E27FC236}">
              <a16:creationId xmlns:a16="http://schemas.microsoft.com/office/drawing/2014/main" id="{3E06D7E7-9F6F-4C14-B3FE-1FBD75698876}"/>
            </a:ext>
          </a:extLst>
        </xdr:cNvPr>
        <xdr:cNvSpPr/>
      </xdr:nvSpPr>
      <xdr:spPr>
        <a:xfrm>
          <a:off x="4591050" y="2276475"/>
          <a:ext cx="2124075"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PROBLEMAS DE BA</a:t>
          </a:r>
        </a:p>
      </xdr:txBody>
    </xdr:sp>
    <xdr:clientData/>
  </xdr:oneCellAnchor>
  <xdr:oneCellAnchor>
    <xdr:from>
      <xdr:col>2</xdr:col>
      <xdr:colOff>342900</xdr:colOff>
      <xdr:row>16</xdr:row>
      <xdr:rowOff>152400</xdr:rowOff>
    </xdr:from>
    <xdr:ext cx="2124075" cy="273152"/>
    <xdr:sp macro="" textlink="">
      <xdr:nvSpPr>
        <xdr:cNvPr id="92" name="Rectángulo 91">
          <a:extLst>
            <a:ext uri="{FF2B5EF4-FFF2-40B4-BE49-F238E27FC236}">
              <a16:creationId xmlns:a16="http://schemas.microsoft.com/office/drawing/2014/main" id="{86F39D7D-DB99-48C9-93F3-446420C6BD64}"/>
            </a:ext>
          </a:extLst>
        </xdr:cNvPr>
        <xdr:cNvSpPr/>
      </xdr:nvSpPr>
      <xdr:spPr>
        <a:xfrm>
          <a:off x="1866900" y="3219450"/>
          <a:ext cx="2124075" cy="273152"/>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1000" b="1" cap="none" spc="0">
              <a:ln/>
              <a:solidFill>
                <a:schemeClr val="tx1"/>
              </a:solidFill>
              <a:effectLst/>
              <a:latin typeface="Arial Black" panose="020B0A04020102020204" pitchFamily="34" charset="0"/>
            </a:rPr>
            <a:t>N/A</a:t>
          </a:r>
        </a:p>
      </xdr:txBody>
    </xdr:sp>
    <xdr:clientData/>
  </xdr:oneCellAnchor>
  <xdr:oneCellAnchor>
    <xdr:from>
      <xdr:col>2</xdr:col>
      <xdr:colOff>476250</xdr:colOff>
      <xdr:row>14</xdr:row>
      <xdr:rowOff>152400</xdr:rowOff>
    </xdr:from>
    <xdr:ext cx="2286000" cy="255070"/>
    <xdr:sp macro="" textlink="">
      <xdr:nvSpPr>
        <xdr:cNvPr id="93" name="Rectángulo 92">
          <a:extLst>
            <a:ext uri="{FF2B5EF4-FFF2-40B4-BE49-F238E27FC236}">
              <a16:creationId xmlns:a16="http://schemas.microsoft.com/office/drawing/2014/main" id="{652A9646-7EF9-46DC-8CB4-31635F15603A}"/>
            </a:ext>
          </a:extLst>
        </xdr:cNvPr>
        <xdr:cNvSpPr/>
      </xdr:nvSpPr>
      <xdr:spPr>
        <a:xfrm>
          <a:off x="2000250" y="2838450"/>
          <a:ext cx="2286000" cy="255070"/>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l"/>
          <a:r>
            <a:rPr lang="es-ES" sz="900" b="1" cap="none" spc="0">
              <a:ln/>
              <a:solidFill>
                <a:schemeClr val="tx1"/>
              </a:solidFill>
              <a:effectLst/>
              <a:latin typeface="Arial Black" panose="020B0A04020102020204" pitchFamily="34" charset="0"/>
            </a:rPr>
            <a:t>DEMORA EN CAMBIOS DE PC´S</a:t>
          </a:r>
        </a:p>
      </xdr:txBody>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backgroundRefresh="0" connectionId="2" xr16:uid="{1CEA8279-55FD-4FA5-8EE0-379ACC223229}" autoFormatId="16" applyNumberFormats="0" applyBorderFormats="0" applyFontFormats="0" applyPatternFormats="0" applyAlignmentFormats="0" applyWidthHeightFormats="0">
  <queryTableRefresh nextId="14">
    <queryTableFields count="13">
      <queryTableField id="1" name="PORTAFOLIO" tableColumnId="1"/>
      <queryTableField id="2" name="FECHA" tableColumnId="2"/>
      <queryTableField id="3" name="SEGMENTO" tableColumnId="3"/>
      <queryTableField id="4" name="TIPO DE AUDITORÍA" tableColumnId="4"/>
      <queryTableField id="5" name="KPI" tableColumnId="5"/>
      <queryTableField id="6" name="CALIFICACIÓN" tableColumnId="6"/>
      <queryTableField id="7" name="PESO" tableColumnId="7"/>
      <queryTableField id="8" name="IMPACTO TOTAL" tableColumnId="8"/>
      <queryTableField id="9" name="RESULTADO ESPERADO" tableColumnId="9"/>
      <queryTableField id="10" name="ESTADO" tableColumnId="10"/>
      <queryTableField id="11" name="SE MANTIENE" tableColumnId="11"/>
      <queryTableField id="12" name="MEJORA" tableColumnId="12"/>
      <queryTableField id="13" name="EMPEORA" tableColumnId="13"/>
    </queryTableFields>
  </queryTableRefresh>
  <extLst>
    <ext xmlns:x15="http://schemas.microsoft.com/office/spreadsheetml/2010/11/main" uri="{883FBD77-0823-4a55-B5E3-86C4891E6966}">
      <x15:queryTable sourceDataName="Consulta - ANÁLISIS EQUIPO"/>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5BA59C-F202-41A2-96CB-3FEEB3A4C2A9}" name="ANÁLISIS_EQUIPO" displayName="ANÁLISIS_EQUIPO" ref="A1:M151" tableType="queryTable" totalsRowShown="0">
  <autoFilter ref="A1:M151" xr:uid="{375BA59C-F202-41A2-96CB-3FEEB3A4C2A9}">
    <filterColumn colId="4">
      <filters>
        <filter val="ActualizaciÃ³n de datos,"/>
        <filter val="Agendamiento,"/>
        <filter val="AtenciÃ³n Oportuna,"/>
        <filter val="Beneficios,"/>
        <filter val="Cierre,"/>
        <filter val="Conocimiento Del Producto"/>
        <filter val="Corte De ComunicaciÃ³n,"/>
        <filter val="Cumplimiento En Seguimiento,"/>
        <filter val="Despedida,"/>
        <filter val="Escucha Activa,"/>
        <filter val="Explica el motivo de la llamada de forma clara y rÃ¡pida,"/>
        <filter val="Manejo De Emociones,"/>
        <filter val="ModulaciÃ³n"/>
        <filter val="Muletillas"/>
        <filter val="ObservaciÃ³n,"/>
        <filter val="Oferta,"/>
        <filter val="Preguntar,"/>
        <filter val="PresentaciÃ³n,"/>
        <filter val="Protocolo De GestiÃ³n"/>
        <filter val="Protocolo De GestiÃ³n,"/>
        <filter val="Realiza DevoluciÃ³n De Llamada"/>
        <filter val="Rebatir,"/>
        <filter val="Registro De Datos Actualizados,"/>
        <filter val="Ruido Ambiente"/>
        <filter val="Tiempos Muertos,"/>
        <filter val="TipificaciÃ³n,"/>
        <filter val="TMO"/>
        <filter val="Uso De Medios,"/>
        <filter val="Vender,"/>
      </filters>
    </filterColumn>
  </autoFilter>
  <sortState xmlns:xlrd2="http://schemas.microsoft.com/office/spreadsheetml/2017/richdata2" ref="A2:M151">
    <sortCondition ref="D2:D151" customList="DIAGNÓSTICO,TOTAL DIAGNÓSTICO,MONITOREO 1,TOTAL MONITOREO 1,MONITOREO 2,TOTAL MONITOREO 2,MONITOREO 3,TOTAL MONITOREO 3,MONITOREO 4,TOTAL MONITOREO 4"/>
    <sortCondition descending="1" ref="G2:G151"/>
  </sortState>
  <tableColumns count="13">
    <tableColumn id="1" xr3:uid="{A15BB1F7-A085-48B7-BA79-32F5ECC806A1}" uniqueName="1" name="PORTAFOLIO" queryTableFieldId="1" dataDxfId="70"/>
    <tableColumn id="2" xr3:uid="{ACF8BBC7-06EE-4D60-9B20-FFF84DB80C25}" uniqueName="2" name="FECHA" queryTableFieldId="2" dataDxfId="69"/>
    <tableColumn id="3" xr3:uid="{00F329DC-39CA-464C-AD9D-84B5BACD28DE}" uniqueName="3" name="SEGMENTO" queryTableFieldId="3" dataDxfId="68"/>
    <tableColumn id="4" xr3:uid="{600B7F9C-BDFF-41D9-8BA6-05A4521DC6C1}" uniqueName="4" name="TIPO DE AUDITORÍA" queryTableFieldId="4" dataDxfId="67"/>
    <tableColumn id="5" xr3:uid="{8E145BC6-16C2-431A-AA05-03A71CBFC6D2}" uniqueName="5" name="KPI" queryTableFieldId="5" dataDxfId="66"/>
    <tableColumn id="6" xr3:uid="{0A28A421-417A-4600-A929-E665CE96D53F}" uniqueName="6" name="CALIFICACIÓN" queryTableFieldId="6" dataDxfId="65"/>
    <tableColumn id="7" xr3:uid="{59FA2A86-158F-4480-BBD4-9FFB554952C0}" uniqueName="7" name="PESO" queryTableFieldId="7" dataDxfId="64" dataCellStyle="Porcentaje"/>
    <tableColumn id="8" xr3:uid="{649FE67D-22BA-45E3-B5BD-1800190AB1C6}" uniqueName="8" name="IMPACTO TOTAL" queryTableFieldId="8" dataDxfId="63" dataCellStyle="Porcentaje"/>
    <tableColumn id="9" xr3:uid="{5BA998BB-5D02-48ED-B9B4-4C21A7C580E4}" uniqueName="9" name="RESULTADO ESPERADO" queryTableFieldId="9" dataDxfId="62" dataCellStyle="Porcentaje"/>
    <tableColumn id="10" xr3:uid="{63903419-6CB1-4067-90B8-FF07B9C98BB9}" uniqueName="10" name="ESTADO" queryTableFieldId="10" dataDxfId="61" dataCellStyle="Porcentaje"/>
    <tableColumn id="11" xr3:uid="{00C1191C-E0C8-4237-B097-353ABB0F26CF}" uniqueName="11" name="SE MANTIENE" queryTableFieldId="11" dataDxfId="60"/>
    <tableColumn id="12" xr3:uid="{190E5093-6AD3-4612-9B7F-27C63F157F6A}" uniqueName="12" name="MEJORA" queryTableFieldId="12" dataDxfId="59"/>
    <tableColumn id="13" xr3:uid="{A44D7995-FBE3-45D3-A246-B75E23B6A4E4}" uniqueName="13" name="EMPEORA" queryTableFieldId="13" dataDxfId="58"/>
  </tableColumns>
  <tableStyleInfo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F0086-C4C1-4BB7-8113-5B205068D130}">
  <sheetPr codeName="Hoja1">
    <tabColor rgb="FFFFFF00"/>
  </sheetPr>
  <dimension ref="A1:AT96"/>
  <sheetViews>
    <sheetView topLeftCell="V1" zoomScale="70" zoomScaleNormal="70" workbookViewId="0">
      <pane ySplit="1" topLeftCell="A2" activePane="bottomLeft" state="frozen"/>
      <selection activeCell="J1" sqref="J1"/>
      <selection pane="bottomLeft" activeCell="AS13" sqref="AS13"/>
    </sheetView>
  </sheetViews>
  <sheetFormatPr baseColWidth="10" defaultColWidth="11.42578125" defaultRowHeight="15" x14ac:dyDescent="0.25"/>
  <cols>
    <col min="1" max="1" width="33.7109375" style="1" bestFit="1" customWidth="1"/>
    <col min="2" max="2" width="28" style="1" bestFit="1" customWidth="1"/>
    <col min="3" max="3" width="20.140625" style="1" bestFit="1" customWidth="1"/>
    <col min="4" max="4" width="15.140625" style="1" customWidth="1"/>
    <col min="5" max="5" width="11.42578125" style="1"/>
    <col min="6" max="6" width="12.28515625" style="1" customWidth="1"/>
    <col min="7" max="7" width="11.42578125" style="1"/>
    <col min="8" max="8" width="11.5703125" style="1" bestFit="1" customWidth="1"/>
    <col min="9" max="9" width="20.42578125" style="1" customWidth="1"/>
    <col min="10" max="10" width="13.42578125" style="1" bestFit="1" customWidth="1"/>
    <col min="11" max="11" width="11.42578125" style="1"/>
    <col min="12" max="12" width="13.42578125" style="1" bestFit="1" customWidth="1"/>
    <col min="13" max="13" width="17" style="1" bestFit="1" customWidth="1"/>
    <col min="14" max="14" width="13.5703125" style="1" customWidth="1"/>
    <col min="15" max="15" width="14.28515625" style="1" customWidth="1"/>
    <col min="16" max="21" width="11.5703125" style="76" bestFit="1" customWidth="1"/>
    <col min="22" max="22" width="11.5703125" style="76" customWidth="1"/>
    <col min="23" max="27" width="11.5703125" style="76" bestFit="1" customWidth="1"/>
    <col min="28" max="44" width="11.42578125" style="76"/>
    <col min="45" max="45" width="12.28515625" style="76" customWidth="1"/>
    <col min="46" max="16384" width="11.42578125" style="1"/>
  </cols>
  <sheetData>
    <row r="1" spans="1:46" s="2" customFormat="1" ht="69.95" customHeight="1" x14ac:dyDescent="0.25">
      <c r="A1" s="11" t="s">
        <v>152</v>
      </c>
      <c r="B1" s="11" t="s">
        <v>151</v>
      </c>
      <c r="C1" s="37" t="s">
        <v>0</v>
      </c>
      <c r="D1" s="8" t="s">
        <v>1</v>
      </c>
      <c r="E1" s="8" t="s">
        <v>2</v>
      </c>
      <c r="F1" s="8" t="s">
        <v>3</v>
      </c>
      <c r="G1" s="8" t="s">
        <v>4</v>
      </c>
      <c r="H1" s="8" t="s">
        <v>5</v>
      </c>
      <c r="I1" s="8" t="s">
        <v>6</v>
      </c>
      <c r="J1" s="8" t="s">
        <v>7</v>
      </c>
      <c r="K1" s="8" t="s">
        <v>8</v>
      </c>
      <c r="L1" s="8" t="s">
        <v>9</v>
      </c>
      <c r="M1" s="8" t="s">
        <v>10</v>
      </c>
      <c r="N1" s="8" t="s">
        <v>11</v>
      </c>
      <c r="O1" s="8" t="s">
        <v>12</v>
      </c>
      <c r="P1" s="68" t="s">
        <v>108</v>
      </c>
      <c r="Q1" s="68" t="s">
        <v>109</v>
      </c>
      <c r="R1" s="68" t="s">
        <v>110</v>
      </c>
      <c r="S1" s="68" t="s">
        <v>111</v>
      </c>
      <c r="T1" s="68" t="s">
        <v>112</v>
      </c>
      <c r="U1" s="68" t="s">
        <v>113</v>
      </c>
      <c r="V1" s="68" t="s">
        <v>114</v>
      </c>
      <c r="W1" s="68" t="s">
        <v>115</v>
      </c>
      <c r="X1" s="68" t="s">
        <v>116</v>
      </c>
      <c r="Y1" s="68" t="s">
        <v>117</v>
      </c>
      <c r="Z1" s="69" t="s">
        <v>118</v>
      </c>
      <c r="AA1" s="69" t="s">
        <v>24</v>
      </c>
      <c r="AB1" s="69" t="s">
        <v>25</v>
      </c>
      <c r="AC1" s="69" t="s">
        <v>26</v>
      </c>
      <c r="AD1" s="69" t="s">
        <v>27</v>
      </c>
      <c r="AE1" s="69" t="s">
        <v>28</v>
      </c>
      <c r="AF1" s="69" t="s">
        <v>119</v>
      </c>
      <c r="AG1" s="69" t="s">
        <v>120</v>
      </c>
      <c r="AH1" s="69" t="s">
        <v>121</v>
      </c>
      <c r="AI1" s="69" t="s">
        <v>122</v>
      </c>
      <c r="AJ1" s="70" t="s">
        <v>123</v>
      </c>
      <c r="AK1" s="70" t="s">
        <v>124</v>
      </c>
      <c r="AL1" s="70" t="s">
        <v>125</v>
      </c>
      <c r="AM1" s="70" t="s">
        <v>126</v>
      </c>
      <c r="AN1" s="70" t="s">
        <v>127</v>
      </c>
      <c r="AO1" s="70" t="s">
        <v>30</v>
      </c>
      <c r="AP1" s="69" t="s">
        <v>128</v>
      </c>
      <c r="AQ1" s="69" t="s">
        <v>129</v>
      </c>
      <c r="AR1" s="69" t="s">
        <v>31</v>
      </c>
      <c r="AS1" s="71" t="s">
        <v>43</v>
      </c>
      <c r="AT1" s="4" t="s">
        <v>44</v>
      </c>
    </row>
    <row r="2" spans="1:46" x14ac:dyDescent="0.25">
      <c r="A2" s="3" t="s">
        <v>154</v>
      </c>
      <c r="B2" s="3" t="s">
        <v>135</v>
      </c>
      <c r="C2" s="54" t="s">
        <v>32</v>
      </c>
      <c r="D2" s="3">
        <v>3</v>
      </c>
      <c r="E2" s="3" t="s">
        <v>33</v>
      </c>
      <c r="F2" s="34" t="s">
        <v>75</v>
      </c>
      <c r="G2" s="3" t="s">
        <v>34</v>
      </c>
      <c r="H2" s="3" t="s">
        <v>76</v>
      </c>
      <c r="I2" s="3" t="s">
        <v>77</v>
      </c>
      <c r="J2" s="3">
        <v>2036644</v>
      </c>
      <c r="K2" s="3" t="s">
        <v>78</v>
      </c>
      <c r="L2" s="3">
        <v>3188120410</v>
      </c>
      <c r="M2" s="13">
        <v>45903</v>
      </c>
      <c r="N2" s="3" t="s">
        <v>40</v>
      </c>
      <c r="O2" s="3" t="s">
        <v>36</v>
      </c>
      <c r="P2" s="72">
        <v>0</v>
      </c>
      <c r="Q2" s="72">
        <v>0</v>
      </c>
      <c r="R2" s="72">
        <v>0</v>
      </c>
      <c r="S2" s="72">
        <v>0</v>
      </c>
      <c r="T2" s="72">
        <v>0</v>
      </c>
      <c r="U2" s="72">
        <v>3.45</v>
      </c>
      <c r="V2" s="72">
        <v>3.45</v>
      </c>
      <c r="W2" s="72">
        <v>0</v>
      </c>
      <c r="X2" s="72">
        <v>0</v>
      </c>
      <c r="Y2" s="72">
        <v>0</v>
      </c>
      <c r="Z2" s="72">
        <v>0</v>
      </c>
      <c r="AA2" s="72">
        <v>0</v>
      </c>
      <c r="AB2" s="72">
        <v>0</v>
      </c>
      <c r="AC2" s="72">
        <v>0</v>
      </c>
      <c r="AD2" s="72">
        <v>0</v>
      </c>
      <c r="AE2" s="72">
        <v>0</v>
      </c>
      <c r="AF2" s="72">
        <v>0</v>
      </c>
      <c r="AG2" s="72">
        <v>0</v>
      </c>
      <c r="AH2" s="72">
        <v>0</v>
      </c>
      <c r="AI2" s="72">
        <v>0</v>
      </c>
      <c r="AJ2" s="72">
        <v>0</v>
      </c>
      <c r="AK2" s="72">
        <v>0</v>
      </c>
      <c r="AL2" s="72">
        <v>0</v>
      </c>
      <c r="AM2" s="72">
        <v>0</v>
      </c>
      <c r="AN2" s="72">
        <v>0</v>
      </c>
      <c r="AO2" s="72">
        <v>0</v>
      </c>
      <c r="AP2" s="72">
        <v>0</v>
      </c>
      <c r="AQ2" s="72">
        <v>0</v>
      </c>
      <c r="AR2" s="72">
        <v>0</v>
      </c>
      <c r="AS2" s="73">
        <f>SUMIF(P2:AR2,3.45)</f>
        <v>6.9</v>
      </c>
      <c r="AT2" s="3">
        <v>100</v>
      </c>
    </row>
    <row r="3" spans="1:46" x14ac:dyDescent="0.25">
      <c r="A3" s="3" t="s">
        <v>154</v>
      </c>
      <c r="B3" s="3" t="s">
        <v>135</v>
      </c>
      <c r="C3" s="54" t="s">
        <v>32</v>
      </c>
      <c r="D3" s="3">
        <v>3</v>
      </c>
      <c r="E3" s="3" t="s">
        <v>33</v>
      </c>
      <c r="F3" s="3" t="s">
        <v>79</v>
      </c>
      <c r="G3" s="3" t="s">
        <v>34</v>
      </c>
      <c r="H3" s="3" t="s">
        <v>76</v>
      </c>
      <c r="I3" s="3" t="s">
        <v>77</v>
      </c>
      <c r="J3" s="3">
        <v>2012501</v>
      </c>
      <c r="K3" s="3" t="s">
        <v>80</v>
      </c>
      <c r="L3" s="3">
        <v>3124250477</v>
      </c>
      <c r="M3" s="13">
        <v>45895</v>
      </c>
      <c r="N3" s="3" t="s">
        <v>39</v>
      </c>
      <c r="O3" s="3" t="s">
        <v>36</v>
      </c>
      <c r="P3" s="72">
        <v>0</v>
      </c>
      <c r="Q3" s="72">
        <v>0</v>
      </c>
      <c r="R3" s="72">
        <v>0</v>
      </c>
      <c r="S3" s="72">
        <v>0</v>
      </c>
      <c r="T3" s="72">
        <v>3.45</v>
      </c>
      <c r="U3" s="72">
        <v>3.45</v>
      </c>
      <c r="V3" s="72">
        <v>3.45</v>
      </c>
      <c r="W3" s="72">
        <v>3.45</v>
      </c>
      <c r="X3" s="72">
        <v>0</v>
      </c>
      <c r="Y3" s="72">
        <v>0</v>
      </c>
      <c r="Z3" s="72">
        <v>0</v>
      </c>
      <c r="AA3" s="72">
        <v>0</v>
      </c>
      <c r="AB3" s="72">
        <v>0</v>
      </c>
      <c r="AC3" s="72">
        <v>0</v>
      </c>
      <c r="AD3" s="72">
        <v>0</v>
      </c>
      <c r="AE3" s="72">
        <v>0</v>
      </c>
      <c r="AF3" s="72">
        <v>0</v>
      </c>
      <c r="AG3" s="72">
        <v>0</v>
      </c>
      <c r="AH3" s="72">
        <v>0</v>
      </c>
      <c r="AI3" s="72">
        <v>0</v>
      </c>
      <c r="AJ3" s="72">
        <v>0</v>
      </c>
      <c r="AK3" s="72">
        <v>0</v>
      </c>
      <c r="AL3" s="72">
        <v>0</v>
      </c>
      <c r="AM3" s="72">
        <v>0</v>
      </c>
      <c r="AN3" s="72">
        <v>0</v>
      </c>
      <c r="AO3" s="72">
        <v>0</v>
      </c>
      <c r="AP3" s="72">
        <v>0</v>
      </c>
      <c r="AQ3" s="72">
        <v>0</v>
      </c>
      <c r="AR3" s="72">
        <v>0</v>
      </c>
      <c r="AS3" s="73">
        <f t="shared" ref="AS3:AS6" si="0">SUMIF(P3:AR3,3.45)</f>
        <v>13.8</v>
      </c>
      <c r="AT3" s="3"/>
    </row>
    <row r="4" spans="1:46" x14ac:dyDescent="0.25">
      <c r="A4" s="3" t="s">
        <v>154</v>
      </c>
      <c r="B4" s="3" t="s">
        <v>135</v>
      </c>
      <c r="C4" s="54" t="s">
        <v>32</v>
      </c>
      <c r="D4" s="3">
        <v>3</v>
      </c>
      <c r="E4" s="3" t="s">
        <v>33</v>
      </c>
      <c r="F4" s="3" t="s">
        <v>81</v>
      </c>
      <c r="G4" s="3" t="s">
        <v>34</v>
      </c>
      <c r="H4" s="3" t="s">
        <v>76</v>
      </c>
      <c r="I4" s="3" t="s">
        <v>77</v>
      </c>
      <c r="J4" s="3">
        <v>1980561</v>
      </c>
      <c r="K4" s="3" t="s">
        <v>82</v>
      </c>
      <c r="L4" s="3">
        <v>3136765995</v>
      </c>
      <c r="M4" s="13">
        <v>45895</v>
      </c>
      <c r="N4" s="3" t="s">
        <v>41</v>
      </c>
      <c r="O4" s="3" t="s">
        <v>36</v>
      </c>
      <c r="P4" s="72">
        <v>0</v>
      </c>
      <c r="Q4" s="72">
        <v>3.45</v>
      </c>
      <c r="R4" s="72">
        <v>0</v>
      </c>
      <c r="S4" s="72">
        <v>0</v>
      </c>
      <c r="T4" s="72">
        <v>3.45</v>
      </c>
      <c r="U4" s="72">
        <v>3.45</v>
      </c>
      <c r="V4" s="72">
        <v>3.45</v>
      </c>
      <c r="W4" s="72">
        <v>3.45</v>
      </c>
      <c r="X4" s="72">
        <v>0</v>
      </c>
      <c r="Y4" s="72">
        <v>3.45</v>
      </c>
      <c r="Z4" s="72">
        <v>0</v>
      </c>
      <c r="AA4" s="72">
        <v>0</v>
      </c>
      <c r="AB4" s="72">
        <v>0</v>
      </c>
      <c r="AC4" s="72">
        <v>0</v>
      </c>
      <c r="AD4" s="72">
        <v>0</v>
      </c>
      <c r="AE4" s="72">
        <v>0</v>
      </c>
      <c r="AF4" s="72">
        <v>0</v>
      </c>
      <c r="AG4" s="72">
        <v>0</v>
      </c>
      <c r="AH4" s="72">
        <v>0</v>
      </c>
      <c r="AI4" s="72">
        <v>0</v>
      </c>
      <c r="AJ4" s="72">
        <v>0</v>
      </c>
      <c r="AK4" s="72">
        <v>0</v>
      </c>
      <c r="AL4" s="72">
        <v>0</v>
      </c>
      <c r="AM4" s="72">
        <v>0</v>
      </c>
      <c r="AN4" s="72">
        <v>0</v>
      </c>
      <c r="AO4" s="72">
        <v>0</v>
      </c>
      <c r="AP4" s="72">
        <v>0</v>
      </c>
      <c r="AQ4" s="72">
        <v>0</v>
      </c>
      <c r="AR4" s="72">
        <v>0</v>
      </c>
      <c r="AS4" s="73">
        <f t="shared" si="0"/>
        <v>20.7</v>
      </c>
      <c r="AT4" s="3"/>
    </row>
    <row r="5" spans="1:46" x14ac:dyDescent="0.25">
      <c r="A5" s="3" t="s">
        <v>154</v>
      </c>
      <c r="B5" s="3" t="s">
        <v>135</v>
      </c>
      <c r="C5" s="54" t="s">
        <v>32</v>
      </c>
      <c r="D5" s="3">
        <v>3</v>
      </c>
      <c r="E5" s="3" t="s">
        <v>33</v>
      </c>
      <c r="F5" s="3" t="s">
        <v>83</v>
      </c>
      <c r="G5" s="3" t="s">
        <v>34</v>
      </c>
      <c r="H5" s="3" t="s">
        <v>76</v>
      </c>
      <c r="I5" s="3" t="s">
        <v>77</v>
      </c>
      <c r="J5" s="3">
        <v>1912585</v>
      </c>
      <c r="K5" s="3"/>
      <c r="L5" s="3">
        <v>3136730889</v>
      </c>
      <c r="M5" s="13">
        <v>45894</v>
      </c>
      <c r="N5" s="3" t="s">
        <v>37</v>
      </c>
      <c r="O5" s="3" t="s">
        <v>36</v>
      </c>
      <c r="P5" s="72">
        <v>0</v>
      </c>
      <c r="Q5" s="72">
        <v>3.45</v>
      </c>
      <c r="R5" s="72">
        <v>0</v>
      </c>
      <c r="S5" s="72">
        <v>0</v>
      </c>
      <c r="T5" s="72">
        <v>3.45</v>
      </c>
      <c r="U5" s="72">
        <v>3.45</v>
      </c>
      <c r="V5" s="72">
        <v>3.45</v>
      </c>
      <c r="W5" s="72">
        <v>3.45</v>
      </c>
      <c r="X5" s="72">
        <v>0</v>
      </c>
      <c r="Y5" s="72">
        <v>3.45</v>
      </c>
      <c r="Z5" s="72">
        <v>3.45</v>
      </c>
      <c r="AA5" s="72">
        <v>0</v>
      </c>
      <c r="AB5" s="72">
        <v>0</v>
      </c>
      <c r="AC5" s="72">
        <v>0</v>
      </c>
      <c r="AD5" s="72">
        <v>0</v>
      </c>
      <c r="AE5" s="72">
        <v>0</v>
      </c>
      <c r="AF5" s="72">
        <v>0</v>
      </c>
      <c r="AG5" s="72">
        <v>0</v>
      </c>
      <c r="AH5" s="72">
        <v>0</v>
      </c>
      <c r="AI5" s="72">
        <v>0</v>
      </c>
      <c r="AJ5" s="72">
        <v>0</v>
      </c>
      <c r="AK5" s="72">
        <v>3.45</v>
      </c>
      <c r="AL5" s="72">
        <v>0</v>
      </c>
      <c r="AM5" s="72">
        <v>0</v>
      </c>
      <c r="AN5" s="72">
        <v>0</v>
      </c>
      <c r="AO5" s="72">
        <v>0</v>
      </c>
      <c r="AP5" s="72">
        <v>0</v>
      </c>
      <c r="AQ5" s="72">
        <v>0</v>
      </c>
      <c r="AR5" s="72">
        <v>0</v>
      </c>
      <c r="AS5" s="73">
        <f t="shared" si="0"/>
        <v>27.599999999999998</v>
      </c>
      <c r="AT5" s="3"/>
    </row>
    <row r="6" spans="1:46" x14ac:dyDescent="0.25">
      <c r="A6" s="3" t="s">
        <v>154</v>
      </c>
      <c r="B6" s="3" t="s">
        <v>135</v>
      </c>
      <c r="C6" s="54" t="s">
        <v>32</v>
      </c>
      <c r="D6" s="3">
        <v>3</v>
      </c>
      <c r="E6" s="3" t="s">
        <v>33</v>
      </c>
      <c r="F6" s="3" t="s">
        <v>84</v>
      </c>
      <c r="G6" s="3" t="s">
        <v>34</v>
      </c>
      <c r="H6" s="3" t="s">
        <v>76</v>
      </c>
      <c r="I6" s="3" t="s">
        <v>77</v>
      </c>
      <c r="J6" s="3">
        <v>1862296</v>
      </c>
      <c r="K6" s="3" t="s">
        <v>85</v>
      </c>
      <c r="L6" s="3">
        <v>3195715429</v>
      </c>
      <c r="M6" s="13">
        <v>45898</v>
      </c>
      <c r="N6" s="3" t="s">
        <v>38</v>
      </c>
      <c r="O6" s="3" t="s">
        <v>36</v>
      </c>
      <c r="P6" s="72">
        <v>0</v>
      </c>
      <c r="Q6" s="72">
        <v>3.45</v>
      </c>
      <c r="R6" s="72">
        <v>0</v>
      </c>
      <c r="S6" s="72">
        <v>0</v>
      </c>
      <c r="T6" s="72">
        <v>3.45</v>
      </c>
      <c r="U6" s="72">
        <v>0</v>
      </c>
      <c r="V6" s="72">
        <v>3.45</v>
      </c>
      <c r="W6" s="72">
        <v>3.45</v>
      </c>
      <c r="X6" s="72">
        <v>3.45</v>
      </c>
      <c r="Y6" s="72">
        <v>3.45</v>
      </c>
      <c r="Z6" s="72">
        <v>0</v>
      </c>
      <c r="AA6" s="72">
        <v>0</v>
      </c>
      <c r="AB6" s="72">
        <v>0</v>
      </c>
      <c r="AC6" s="72">
        <v>0</v>
      </c>
      <c r="AD6" s="72">
        <v>0</v>
      </c>
      <c r="AE6" s="72">
        <v>0</v>
      </c>
      <c r="AF6" s="72">
        <v>0</v>
      </c>
      <c r="AG6" s="72">
        <v>0</v>
      </c>
      <c r="AH6" s="72">
        <v>0</v>
      </c>
      <c r="AI6" s="72">
        <v>0</v>
      </c>
      <c r="AJ6" s="72">
        <v>0</v>
      </c>
      <c r="AK6" s="72">
        <v>0</v>
      </c>
      <c r="AL6" s="72">
        <v>0</v>
      </c>
      <c r="AM6" s="72">
        <v>0</v>
      </c>
      <c r="AN6" s="72">
        <v>0</v>
      </c>
      <c r="AO6" s="72">
        <v>0</v>
      </c>
      <c r="AP6" s="72">
        <v>0</v>
      </c>
      <c r="AQ6" s="72">
        <v>0</v>
      </c>
      <c r="AR6" s="72">
        <v>3.45</v>
      </c>
      <c r="AS6" s="73">
        <f t="shared" si="0"/>
        <v>24.15</v>
      </c>
      <c r="AT6" s="3"/>
    </row>
    <row r="7" spans="1:46" s="7" customFormat="1" x14ac:dyDescent="0.25">
      <c r="A7" s="11" t="s">
        <v>154</v>
      </c>
      <c r="B7" s="11" t="s">
        <v>135</v>
      </c>
      <c r="C7" s="113" t="s">
        <v>130</v>
      </c>
      <c r="D7" s="114"/>
      <c r="E7" s="114"/>
      <c r="F7" s="114"/>
      <c r="G7" s="114"/>
      <c r="H7" s="114"/>
      <c r="I7" s="114"/>
      <c r="J7" s="11"/>
      <c r="K7" s="11"/>
      <c r="L7" s="11"/>
      <c r="M7" s="12"/>
      <c r="N7" s="11"/>
      <c r="O7" s="11" t="s">
        <v>156</v>
      </c>
      <c r="P7" s="74">
        <f>SUM(P2:P6)</f>
        <v>0</v>
      </c>
      <c r="Q7" s="74">
        <f t="shared" ref="Q7:AR7" si="1">SUM(Q2:Q6)</f>
        <v>10.350000000000001</v>
      </c>
      <c r="R7" s="74">
        <f t="shared" si="1"/>
        <v>0</v>
      </c>
      <c r="S7" s="74">
        <f t="shared" si="1"/>
        <v>0</v>
      </c>
      <c r="T7" s="74">
        <f t="shared" si="1"/>
        <v>13.8</v>
      </c>
      <c r="U7" s="74">
        <f t="shared" si="1"/>
        <v>13.8</v>
      </c>
      <c r="V7" s="74">
        <f t="shared" si="1"/>
        <v>17.25</v>
      </c>
      <c r="W7" s="74">
        <f t="shared" si="1"/>
        <v>13.8</v>
      </c>
      <c r="X7" s="74">
        <f t="shared" si="1"/>
        <v>3.45</v>
      </c>
      <c r="Y7" s="74">
        <f t="shared" si="1"/>
        <v>10.350000000000001</v>
      </c>
      <c r="Z7" s="74">
        <f t="shared" si="1"/>
        <v>3.45</v>
      </c>
      <c r="AA7" s="74">
        <f t="shared" si="1"/>
        <v>0</v>
      </c>
      <c r="AB7" s="74">
        <f t="shared" si="1"/>
        <v>0</v>
      </c>
      <c r="AC7" s="74">
        <f t="shared" si="1"/>
        <v>0</v>
      </c>
      <c r="AD7" s="74">
        <f t="shared" si="1"/>
        <v>0</v>
      </c>
      <c r="AE7" s="74">
        <f t="shared" si="1"/>
        <v>0</v>
      </c>
      <c r="AF7" s="74">
        <f t="shared" si="1"/>
        <v>0</v>
      </c>
      <c r="AG7" s="74">
        <f t="shared" si="1"/>
        <v>0</v>
      </c>
      <c r="AH7" s="74">
        <f t="shared" si="1"/>
        <v>0</v>
      </c>
      <c r="AI7" s="74">
        <f t="shared" si="1"/>
        <v>0</v>
      </c>
      <c r="AJ7" s="74">
        <f t="shared" si="1"/>
        <v>0</v>
      </c>
      <c r="AK7" s="74">
        <f t="shared" si="1"/>
        <v>3.45</v>
      </c>
      <c r="AL7" s="74">
        <f t="shared" si="1"/>
        <v>0</v>
      </c>
      <c r="AM7" s="74">
        <f t="shared" si="1"/>
        <v>0</v>
      </c>
      <c r="AN7" s="74">
        <f t="shared" si="1"/>
        <v>0</v>
      </c>
      <c r="AO7" s="74">
        <f t="shared" si="1"/>
        <v>0</v>
      </c>
      <c r="AP7" s="74">
        <f t="shared" si="1"/>
        <v>0</v>
      </c>
      <c r="AQ7" s="74">
        <f t="shared" si="1"/>
        <v>0</v>
      </c>
      <c r="AR7" s="74">
        <f t="shared" si="1"/>
        <v>3.45</v>
      </c>
      <c r="AS7" s="74">
        <f>SUM(AS2:AS6)</f>
        <v>93.15</v>
      </c>
      <c r="AT7" s="11"/>
    </row>
    <row r="8" spans="1:46" x14ac:dyDescent="0.25">
      <c r="A8" s="3" t="s">
        <v>154</v>
      </c>
      <c r="B8" s="3" t="s">
        <v>135</v>
      </c>
      <c r="C8" s="54" t="s">
        <v>32</v>
      </c>
      <c r="D8" s="3">
        <v>3</v>
      </c>
      <c r="E8" s="3" t="s">
        <v>33</v>
      </c>
      <c r="F8" s="3" t="s">
        <v>86</v>
      </c>
      <c r="G8" s="3" t="s">
        <v>34</v>
      </c>
      <c r="H8" s="3" t="s">
        <v>76</v>
      </c>
      <c r="I8" s="3" t="s">
        <v>87</v>
      </c>
      <c r="J8" s="3">
        <v>2116291</v>
      </c>
      <c r="K8" s="3" t="s">
        <v>88</v>
      </c>
      <c r="L8" s="3">
        <v>3017616045</v>
      </c>
      <c r="M8" s="13">
        <v>45894</v>
      </c>
      <c r="N8" s="3" t="s">
        <v>39</v>
      </c>
      <c r="O8" s="3" t="s">
        <v>36</v>
      </c>
      <c r="P8" s="72">
        <v>3.45</v>
      </c>
      <c r="Q8" s="72">
        <v>3.45</v>
      </c>
      <c r="R8" s="72">
        <v>0</v>
      </c>
      <c r="S8" s="72">
        <v>0</v>
      </c>
      <c r="T8" s="72">
        <v>0</v>
      </c>
      <c r="U8" s="72">
        <v>0</v>
      </c>
      <c r="V8" s="72">
        <v>0</v>
      </c>
      <c r="W8" s="72">
        <v>3.45</v>
      </c>
      <c r="X8" s="72">
        <v>0</v>
      </c>
      <c r="Y8" s="72">
        <v>3.45</v>
      </c>
      <c r="Z8" s="72">
        <v>0</v>
      </c>
      <c r="AA8" s="72">
        <v>0</v>
      </c>
      <c r="AB8" s="72">
        <v>0</v>
      </c>
      <c r="AC8" s="72">
        <v>0</v>
      </c>
      <c r="AD8" s="72">
        <v>0</v>
      </c>
      <c r="AE8" s="72">
        <v>0</v>
      </c>
      <c r="AF8" s="72">
        <v>0</v>
      </c>
      <c r="AG8" s="72">
        <v>0</v>
      </c>
      <c r="AH8" s="72">
        <v>0</v>
      </c>
      <c r="AI8" s="72">
        <v>0</v>
      </c>
      <c r="AJ8" s="72">
        <v>0</v>
      </c>
      <c r="AK8" s="72">
        <v>0</v>
      </c>
      <c r="AL8" s="72">
        <v>0</v>
      </c>
      <c r="AM8" s="72">
        <v>0</v>
      </c>
      <c r="AN8" s="72">
        <v>0</v>
      </c>
      <c r="AO8" s="72">
        <v>0</v>
      </c>
      <c r="AP8" s="72">
        <v>0</v>
      </c>
      <c r="AQ8" s="72">
        <v>0</v>
      </c>
      <c r="AR8" s="72">
        <v>0</v>
      </c>
      <c r="AS8" s="73">
        <f>SUMIF(P8:AR8,3.45)</f>
        <v>13.8</v>
      </c>
      <c r="AT8" s="3"/>
    </row>
    <row r="9" spans="1:46" x14ac:dyDescent="0.25">
      <c r="A9" s="3" t="s">
        <v>154</v>
      </c>
      <c r="B9" s="3" t="s">
        <v>135</v>
      </c>
      <c r="C9" s="54" t="s">
        <v>32</v>
      </c>
      <c r="D9" s="3">
        <v>3</v>
      </c>
      <c r="E9" s="3" t="s">
        <v>33</v>
      </c>
      <c r="F9" s="3" t="s">
        <v>89</v>
      </c>
      <c r="G9" s="3" t="s">
        <v>34</v>
      </c>
      <c r="H9" s="3" t="s">
        <v>76</v>
      </c>
      <c r="I9" s="3" t="s">
        <v>87</v>
      </c>
      <c r="J9" s="3">
        <v>2124205</v>
      </c>
      <c r="K9" s="3" t="s">
        <v>90</v>
      </c>
      <c r="L9" s="3">
        <v>3217239673</v>
      </c>
      <c r="M9" s="13">
        <v>45917</v>
      </c>
      <c r="N9" s="3" t="s">
        <v>91</v>
      </c>
      <c r="O9" s="3" t="s">
        <v>36</v>
      </c>
      <c r="P9" s="72">
        <v>3.45</v>
      </c>
      <c r="Q9" s="72">
        <v>0</v>
      </c>
      <c r="R9" s="72">
        <v>0</v>
      </c>
      <c r="S9" s="72">
        <v>0</v>
      </c>
      <c r="T9" s="72">
        <v>0</v>
      </c>
      <c r="U9" s="72">
        <v>0</v>
      </c>
      <c r="V9" s="72">
        <v>0</v>
      </c>
      <c r="W9" s="72">
        <v>0</v>
      </c>
      <c r="X9" s="72">
        <v>3.45</v>
      </c>
      <c r="Y9" s="72">
        <v>0</v>
      </c>
      <c r="Z9" s="72">
        <v>0</v>
      </c>
      <c r="AA9" s="72">
        <v>0</v>
      </c>
      <c r="AB9" s="72">
        <v>0</v>
      </c>
      <c r="AC9" s="72">
        <v>0</v>
      </c>
      <c r="AD9" s="72">
        <v>0</v>
      </c>
      <c r="AE9" s="72">
        <v>0</v>
      </c>
      <c r="AF9" s="72">
        <v>0</v>
      </c>
      <c r="AG9" s="72">
        <v>0</v>
      </c>
      <c r="AH9" s="72">
        <v>0</v>
      </c>
      <c r="AI9" s="72">
        <v>0</v>
      </c>
      <c r="AJ9" s="72">
        <v>3.45</v>
      </c>
      <c r="AK9" s="72">
        <v>0</v>
      </c>
      <c r="AL9" s="72">
        <v>0</v>
      </c>
      <c r="AM9" s="72">
        <v>0</v>
      </c>
      <c r="AN9" s="72">
        <v>0</v>
      </c>
      <c r="AO9" s="72">
        <v>0</v>
      </c>
      <c r="AP9" s="72">
        <v>0</v>
      </c>
      <c r="AQ9" s="72">
        <v>0</v>
      </c>
      <c r="AR9" s="72">
        <v>0</v>
      </c>
      <c r="AS9" s="73">
        <f t="shared" ref="AS9:AS12" si="2">SUMIF(P9:AR9,3.45)</f>
        <v>10.350000000000001</v>
      </c>
      <c r="AT9" s="3"/>
    </row>
    <row r="10" spans="1:46" x14ac:dyDescent="0.25">
      <c r="A10" s="3" t="s">
        <v>154</v>
      </c>
      <c r="B10" s="3" t="s">
        <v>135</v>
      </c>
      <c r="C10" s="54" t="s">
        <v>32</v>
      </c>
      <c r="D10" s="3">
        <v>3</v>
      </c>
      <c r="E10" s="3" t="s">
        <v>33</v>
      </c>
      <c r="F10" s="3" t="s">
        <v>92</v>
      </c>
      <c r="G10" s="3" t="s">
        <v>34</v>
      </c>
      <c r="H10" s="3" t="s">
        <v>76</v>
      </c>
      <c r="I10" s="3" t="s">
        <v>87</v>
      </c>
      <c r="J10" s="3">
        <v>1113036406</v>
      </c>
      <c r="K10" s="3" t="s">
        <v>93</v>
      </c>
      <c r="L10" s="3">
        <v>3145950331</v>
      </c>
      <c r="M10" s="13">
        <v>45898</v>
      </c>
      <c r="N10" s="3" t="s">
        <v>35</v>
      </c>
      <c r="O10" s="3" t="s">
        <v>36</v>
      </c>
      <c r="P10" s="72">
        <v>0</v>
      </c>
      <c r="Q10" s="72">
        <v>0</v>
      </c>
      <c r="R10" s="72">
        <v>0</v>
      </c>
      <c r="S10" s="72">
        <v>0</v>
      </c>
      <c r="T10" s="72">
        <v>0</v>
      </c>
      <c r="U10" s="72">
        <v>0</v>
      </c>
      <c r="V10" s="72">
        <v>0</v>
      </c>
      <c r="W10" s="72">
        <v>0</v>
      </c>
      <c r="X10" s="72">
        <v>0</v>
      </c>
      <c r="Y10" s="72">
        <v>0</v>
      </c>
      <c r="Z10" s="72">
        <v>0</v>
      </c>
      <c r="AA10" s="72">
        <v>0</v>
      </c>
      <c r="AB10" s="72">
        <v>0</v>
      </c>
      <c r="AC10" s="72">
        <v>0</v>
      </c>
      <c r="AD10" s="72">
        <v>0</v>
      </c>
      <c r="AE10" s="72">
        <v>0</v>
      </c>
      <c r="AF10" s="72">
        <v>0</v>
      </c>
      <c r="AG10" s="72">
        <v>0</v>
      </c>
      <c r="AH10" s="72">
        <v>0</v>
      </c>
      <c r="AI10" s="72">
        <v>0</v>
      </c>
      <c r="AJ10" s="72">
        <v>3.45</v>
      </c>
      <c r="AK10" s="72">
        <v>0</v>
      </c>
      <c r="AL10" s="72">
        <v>0</v>
      </c>
      <c r="AM10" s="72">
        <v>0</v>
      </c>
      <c r="AN10" s="72">
        <v>0</v>
      </c>
      <c r="AO10" s="72">
        <v>0</v>
      </c>
      <c r="AP10" s="72">
        <v>0</v>
      </c>
      <c r="AQ10" s="72">
        <v>0</v>
      </c>
      <c r="AR10" s="72">
        <v>0</v>
      </c>
      <c r="AS10" s="73">
        <f t="shared" si="2"/>
        <v>3.45</v>
      </c>
      <c r="AT10" s="3"/>
    </row>
    <row r="11" spans="1:46" x14ac:dyDescent="0.25">
      <c r="A11" s="3" t="s">
        <v>154</v>
      </c>
      <c r="B11" s="3" t="s">
        <v>135</v>
      </c>
      <c r="C11" s="54" t="s">
        <v>32</v>
      </c>
      <c r="D11" s="3">
        <v>3</v>
      </c>
      <c r="E11" s="3" t="s">
        <v>33</v>
      </c>
      <c r="F11" s="3" t="s">
        <v>94</v>
      </c>
      <c r="G11" s="3" t="s">
        <v>34</v>
      </c>
      <c r="H11" s="3" t="s">
        <v>76</v>
      </c>
      <c r="I11" s="3" t="s">
        <v>87</v>
      </c>
      <c r="J11" s="3">
        <v>1879815</v>
      </c>
      <c r="K11" s="3" t="s">
        <v>95</v>
      </c>
      <c r="L11" s="3">
        <v>3222889204</v>
      </c>
      <c r="M11" s="13">
        <v>45894</v>
      </c>
      <c r="N11" s="3" t="s">
        <v>38</v>
      </c>
      <c r="O11" s="3" t="s">
        <v>36</v>
      </c>
      <c r="P11" s="72">
        <v>0</v>
      </c>
      <c r="Q11" s="72">
        <v>3.45</v>
      </c>
      <c r="R11" s="72">
        <v>3.45</v>
      </c>
      <c r="S11" s="72">
        <v>3.45</v>
      </c>
      <c r="T11" s="72">
        <v>3.45</v>
      </c>
      <c r="U11" s="72">
        <v>3.45</v>
      </c>
      <c r="V11" s="72">
        <v>3.45</v>
      </c>
      <c r="W11" s="72">
        <v>0</v>
      </c>
      <c r="X11" s="72">
        <v>0</v>
      </c>
      <c r="Y11" s="72">
        <v>0</v>
      </c>
      <c r="Z11" s="72">
        <v>0</v>
      </c>
      <c r="AA11" s="72">
        <v>0</v>
      </c>
      <c r="AB11" s="72">
        <v>0</v>
      </c>
      <c r="AC11" s="72">
        <v>0</v>
      </c>
      <c r="AD11" s="72">
        <v>0</v>
      </c>
      <c r="AE11" s="72">
        <v>3.45</v>
      </c>
      <c r="AF11" s="72">
        <v>0</v>
      </c>
      <c r="AG11" s="72">
        <v>0</v>
      </c>
      <c r="AH11" s="72">
        <v>0</v>
      </c>
      <c r="AI11" s="72">
        <v>0</v>
      </c>
      <c r="AJ11" s="72">
        <v>0</v>
      </c>
      <c r="AK11" s="72">
        <v>0</v>
      </c>
      <c r="AL11" s="72">
        <v>0</v>
      </c>
      <c r="AM11" s="72">
        <v>0</v>
      </c>
      <c r="AN11" s="72">
        <v>0</v>
      </c>
      <c r="AO11" s="72">
        <v>0</v>
      </c>
      <c r="AP11" s="72">
        <v>0</v>
      </c>
      <c r="AQ11" s="72">
        <v>0</v>
      </c>
      <c r="AR11" s="72">
        <v>0</v>
      </c>
      <c r="AS11" s="73">
        <f t="shared" si="2"/>
        <v>24.15</v>
      </c>
      <c r="AT11" s="3"/>
    </row>
    <row r="12" spans="1:46" x14ac:dyDescent="0.25">
      <c r="A12" s="3" t="s">
        <v>154</v>
      </c>
      <c r="B12" s="3" t="s">
        <v>135</v>
      </c>
      <c r="C12" s="54" t="s">
        <v>32</v>
      </c>
      <c r="D12" s="3">
        <v>3</v>
      </c>
      <c r="E12" s="3" t="s">
        <v>33</v>
      </c>
      <c r="F12" s="3" t="s">
        <v>96</v>
      </c>
      <c r="G12" s="3" t="s">
        <v>34</v>
      </c>
      <c r="H12" s="3" t="s">
        <v>76</v>
      </c>
      <c r="I12" s="3" t="s">
        <v>87</v>
      </c>
      <c r="J12" s="3">
        <v>1862295</v>
      </c>
      <c r="K12" s="3" t="s">
        <v>85</v>
      </c>
      <c r="L12" s="3">
        <v>3195715429</v>
      </c>
      <c r="M12" s="13">
        <v>45884</v>
      </c>
      <c r="N12" s="3" t="s">
        <v>39</v>
      </c>
      <c r="O12" s="3" t="s">
        <v>36</v>
      </c>
      <c r="P12" s="72">
        <v>0</v>
      </c>
      <c r="Q12" s="72">
        <v>3.45</v>
      </c>
      <c r="R12" s="72">
        <v>0</v>
      </c>
      <c r="S12" s="72">
        <v>3.45</v>
      </c>
      <c r="T12" s="72">
        <v>0</v>
      </c>
      <c r="U12" s="72">
        <v>3.45</v>
      </c>
      <c r="V12" s="72">
        <v>3.45</v>
      </c>
      <c r="W12" s="72">
        <v>0</v>
      </c>
      <c r="X12" s="72">
        <v>0</v>
      </c>
      <c r="Y12" s="72">
        <v>0</v>
      </c>
      <c r="Z12" s="72">
        <v>0</v>
      </c>
      <c r="AA12" s="72">
        <v>0</v>
      </c>
      <c r="AB12" s="72">
        <v>0</v>
      </c>
      <c r="AC12" s="72">
        <v>0</v>
      </c>
      <c r="AD12" s="72">
        <v>0</v>
      </c>
      <c r="AE12" s="72">
        <v>0</v>
      </c>
      <c r="AF12" s="72">
        <v>0</v>
      </c>
      <c r="AG12" s="72">
        <v>0</v>
      </c>
      <c r="AH12" s="72">
        <v>0</v>
      </c>
      <c r="AI12" s="72">
        <v>0</v>
      </c>
      <c r="AJ12" s="72">
        <v>0</v>
      </c>
      <c r="AK12" s="72">
        <v>0</v>
      </c>
      <c r="AL12" s="72">
        <v>0</v>
      </c>
      <c r="AM12" s="72">
        <v>0</v>
      </c>
      <c r="AN12" s="72">
        <v>0</v>
      </c>
      <c r="AO12" s="72">
        <v>0</v>
      </c>
      <c r="AP12" s="72">
        <v>0</v>
      </c>
      <c r="AQ12" s="72">
        <v>0</v>
      </c>
      <c r="AR12" s="72">
        <v>0</v>
      </c>
      <c r="AS12" s="73">
        <f t="shared" si="2"/>
        <v>13.8</v>
      </c>
      <c r="AT12" s="3"/>
    </row>
    <row r="13" spans="1:46" s="7" customFormat="1" x14ac:dyDescent="0.25">
      <c r="A13" s="11" t="s">
        <v>154</v>
      </c>
      <c r="B13" s="11" t="s">
        <v>135</v>
      </c>
      <c r="C13" s="113" t="s">
        <v>131</v>
      </c>
      <c r="D13" s="114"/>
      <c r="E13" s="114"/>
      <c r="F13" s="114"/>
      <c r="G13" s="114"/>
      <c r="H13" s="114"/>
      <c r="I13" s="114"/>
      <c r="J13" s="11"/>
      <c r="K13" s="11"/>
      <c r="L13" s="11"/>
      <c r="M13" s="12"/>
      <c r="N13" s="11"/>
      <c r="O13" s="11" t="s">
        <v>156</v>
      </c>
      <c r="P13" s="74">
        <f>SUM(P8:P12)</f>
        <v>6.9</v>
      </c>
      <c r="Q13" s="74">
        <f t="shared" ref="Q13" si="3">SUM(Q8:Q12)</f>
        <v>10.350000000000001</v>
      </c>
      <c r="R13" s="74">
        <f t="shared" ref="R13" si="4">SUM(R8:R12)</f>
        <v>3.45</v>
      </c>
      <c r="S13" s="74">
        <f t="shared" ref="S13" si="5">SUM(S8:S12)</f>
        <v>6.9</v>
      </c>
      <c r="T13" s="74">
        <f t="shared" ref="T13" si="6">SUM(T8:T12)</f>
        <v>3.45</v>
      </c>
      <c r="U13" s="74">
        <f t="shared" ref="U13" si="7">SUM(U8:U12)</f>
        <v>6.9</v>
      </c>
      <c r="V13" s="74">
        <f t="shared" ref="V13" si="8">SUM(V8:V12)</f>
        <v>6.9</v>
      </c>
      <c r="W13" s="74">
        <f t="shared" ref="W13" si="9">SUM(W8:W12)</f>
        <v>3.45</v>
      </c>
      <c r="X13" s="74">
        <f t="shared" ref="X13" si="10">SUM(X8:X12)</f>
        <v>3.45</v>
      </c>
      <c r="Y13" s="74">
        <f t="shared" ref="Y13" si="11">SUM(Y8:Y12)</f>
        <v>3.45</v>
      </c>
      <c r="Z13" s="74">
        <f t="shared" ref="Z13" si="12">SUM(Z8:Z12)</f>
        <v>0</v>
      </c>
      <c r="AA13" s="74">
        <f t="shared" ref="AA13" si="13">SUM(AA8:AA12)</f>
        <v>0</v>
      </c>
      <c r="AB13" s="74">
        <f t="shared" ref="AB13" si="14">SUM(AB8:AB12)</f>
        <v>0</v>
      </c>
      <c r="AC13" s="74">
        <f t="shared" ref="AC13" si="15">SUM(AC8:AC12)</f>
        <v>0</v>
      </c>
      <c r="AD13" s="74">
        <f t="shared" ref="AD13" si="16">SUM(AD8:AD12)</f>
        <v>0</v>
      </c>
      <c r="AE13" s="74">
        <f t="shared" ref="AE13" si="17">SUM(AE8:AE12)</f>
        <v>3.45</v>
      </c>
      <c r="AF13" s="74">
        <f t="shared" ref="AF13" si="18">SUM(AF8:AF12)</f>
        <v>0</v>
      </c>
      <c r="AG13" s="74">
        <f t="shared" ref="AG13" si="19">SUM(AG8:AG12)</f>
        <v>0</v>
      </c>
      <c r="AH13" s="74">
        <f t="shared" ref="AH13" si="20">SUM(AH8:AH12)</f>
        <v>0</v>
      </c>
      <c r="AI13" s="74">
        <f t="shared" ref="AI13" si="21">SUM(AI8:AI12)</f>
        <v>0</v>
      </c>
      <c r="AJ13" s="74">
        <f t="shared" ref="AJ13" si="22">SUM(AJ8:AJ12)</f>
        <v>6.9</v>
      </c>
      <c r="AK13" s="74">
        <f t="shared" ref="AK13" si="23">SUM(AK8:AK12)</f>
        <v>0</v>
      </c>
      <c r="AL13" s="74">
        <f t="shared" ref="AL13" si="24">SUM(AL8:AL12)</f>
        <v>0</v>
      </c>
      <c r="AM13" s="74">
        <f t="shared" ref="AM13" si="25">SUM(AM8:AM12)</f>
        <v>0</v>
      </c>
      <c r="AN13" s="74">
        <f t="shared" ref="AN13" si="26">SUM(AN8:AN12)</f>
        <v>0</v>
      </c>
      <c r="AO13" s="74">
        <f t="shared" ref="AO13" si="27">SUM(AO8:AO12)</f>
        <v>0</v>
      </c>
      <c r="AP13" s="74">
        <f t="shared" ref="AP13" si="28">SUM(AP8:AP12)</f>
        <v>0</v>
      </c>
      <c r="AQ13" s="74">
        <f t="shared" ref="AQ13" si="29">SUM(AQ8:AQ12)</f>
        <v>0</v>
      </c>
      <c r="AR13" s="74">
        <f t="shared" ref="AR13" si="30">SUM(AR8:AR12)</f>
        <v>0</v>
      </c>
      <c r="AS13" s="74">
        <f>SUM(AS8:AS12)</f>
        <v>65.55</v>
      </c>
      <c r="AT13" s="11"/>
    </row>
    <row r="14" spans="1:46" x14ac:dyDescent="0.25">
      <c r="A14" s="3" t="s">
        <v>154</v>
      </c>
      <c r="B14" s="3" t="s">
        <v>135</v>
      </c>
      <c r="C14" s="54" t="s">
        <v>32</v>
      </c>
      <c r="D14" s="3">
        <v>3</v>
      </c>
      <c r="E14" s="3" t="s">
        <v>33</v>
      </c>
      <c r="F14" s="3" t="s">
        <v>97</v>
      </c>
      <c r="G14" s="3" t="s">
        <v>34</v>
      </c>
      <c r="H14" s="3" t="s">
        <v>76</v>
      </c>
      <c r="I14" s="3" t="s">
        <v>98</v>
      </c>
      <c r="J14" s="3">
        <v>2294322</v>
      </c>
      <c r="K14" s="3" t="s">
        <v>99</v>
      </c>
      <c r="L14" s="3">
        <v>3122010235</v>
      </c>
      <c r="M14" s="13">
        <v>45897</v>
      </c>
      <c r="N14" s="3" t="s">
        <v>42</v>
      </c>
      <c r="O14" s="3" t="s">
        <v>36</v>
      </c>
      <c r="P14" s="72">
        <v>0</v>
      </c>
      <c r="Q14" s="72">
        <v>3.45</v>
      </c>
      <c r="R14" s="72">
        <v>3.45</v>
      </c>
      <c r="S14" s="72">
        <v>3.45</v>
      </c>
      <c r="T14" s="72">
        <v>3.45</v>
      </c>
      <c r="U14" s="72">
        <v>3.45</v>
      </c>
      <c r="V14" s="72">
        <v>3.45</v>
      </c>
      <c r="W14" s="72">
        <v>0</v>
      </c>
      <c r="X14" s="72">
        <v>0</v>
      </c>
      <c r="Y14" s="72">
        <v>0</v>
      </c>
      <c r="Z14" s="72">
        <v>3.45</v>
      </c>
      <c r="AA14" s="72">
        <v>3.45</v>
      </c>
      <c r="AB14" s="72">
        <v>0</v>
      </c>
      <c r="AC14" s="72">
        <v>3.45</v>
      </c>
      <c r="AD14" s="72">
        <v>0</v>
      </c>
      <c r="AE14" s="72">
        <v>3.45</v>
      </c>
      <c r="AF14" s="72">
        <v>3.45</v>
      </c>
      <c r="AG14" s="72">
        <v>0</v>
      </c>
      <c r="AH14" s="72">
        <v>0</v>
      </c>
      <c r="AI14" s="72">
        <v>0</v>
      </c>
      <c r="AJ14" s="72">
        <v>3.45</v>
      </c>
      <c r="AK14" s="72">
        <v>0</v>
      </c>
      <c r="AL14" s="72">
        <v>0</v>
      </c>
      <c r="AM14" s="72">
        <v>0</v>
      </c>
      <c r="AN14" s="72">
        <v>0</v>
      </c>
      <c r="AO14" s="72">
        <v>0</v>
      </c>
      <c r="AP14" s="72">
        <v>0</v>
      </c>
      <c r="AQ14" s="72">
        <v>0</v>
      </c>
      <c r="AR14" s="72">
        <v>0</v>
      </c>
      <c r="AS14" s="73">
        <f>SUMIF(P14:AR14,3.45)</f>
        <v>41.400000000000006</v>
      </c>
      <c r="AT14" s="3"/>
    </row>
    <row r="15" spans="1:46" x14ac:dyDescent="0.25">
      <c r="A15" s="3" t="s">
        <v>154</v>
      </c>
      <c r="B15" s="3" t="s">
        <v>135</v>
      </c>
      <c r="C15" s="54" t="s">
        <v>32</v>
      </c>
      <c r="D15" s="3">
        <v>3</v>
      </c>
      <c r="E15" s="3" t="s">
        <v>33</v>
      </c>
      <c r="F15" s="3" t="s">
        <v>100</v>
      </c>
      <c r="G15" s="3" t="s">
        <v>34</v>
      </c>
      <c r="H15" s="3" t="s">
        <v>76</v>
      </c>
      <c r="I15" s="3" t="s">
        <v>98</v>
      </c>
      <c r="J15" s="3">
        <v>2289441</v>
      </c>
      <c r="K15" s="3" t="s">
        <v>101</v>
      </c>
      <c r="L15" s="3">
        <v>3102103741</v>
      </c>
      <c r="M15" s="13">
        <v>45894</v>
      </c>
      <c r="N15" s="3" t="s">
        <v>37</v>
      </c>
      <c r="O15" s="3" t="s">
        <v>36</v>
      </c>
      <c r="P15" s="72">
        <v>0</v>
      </c>
      <c r="Q15" s="72">
        <v>0</v>
      </c>
      <c r="R15" s="72">
        <v>3.45</v>
      </c>
      <c r="S15" s="72">
        <v>3.45</v>
      </c>
      <c r="T15" s="72">
        <v>3.45</v>
      </c>
      <c r="U15" s="72">
        <v>3.45</v>
      </c>
      <c r="V15" s="72">
        <v>3.45</v>
      </c>
      <c r="W15" s="72">
        <v>0</v>
      </c>
      <c r="X15" s="72">
        <v>0</v>
      </c>
      <c r="Y15" s="72">
        <v>0</v>
      </c>
      <c r="Z15" s="72">
        <v>0</v>
      </c>
      <c r="AA15" s="72">
        <v>0</v>
      </c>
      <c r="AB15" s="72">
        <v>0</v>
      </c>
      <c r="AC15" s="72">
        <v>0</v>
      </c>
      <c r="AD15" s="72">
        <v>0</v>
      </c>
      <c r="AE15" s="72">
        <v>3.45</v>
      </c>
      <c r="AF15" s="72">
        <v>3.45</v>
      </c>
      <c r="AG15" s="72">
        <v>0</v>
      </c>
      <c r="AH15" s="72">
        <v>0</v>
      </c>
      <c r="AI15" s="72">
        <v>0</v>
      </c>
      <c r="AJ15" s="72">
        <v>3.45</v>
      </c>
      <c r="AK15" s="72">
        <v>0</v>
      </c>
      <c r="AL15" s="72">
        <v>0</v>
      </c>
      <c r="AM15" s="72">
        <v>0</v>
      </c>
      <c r="AN15" s="72">
        <v>0</v>
      </c>
      <c r="AO15" s="72">
        <v>0</v>
      </c>
      <c r="AP15" s="72">
        <v>0</v>
      </c>
      <c r="AQ15" s="72">
        <v>0</v>
      </c>
      <c r="AR15" s="72">
        <v>0</v>
      </c>
      <c r="AS15" s="73">
        <f t="shared" ref="AS15:AS18" si="31">SUMIF(P15:AR15,3.45)</f>
        <v>27.599999999999998</v>
      </c>
      <c r="AT15" s="3"/>
    </row>
    <row r="16" spans="1:46" x14ac:dyDescent="0.25">
      <c r="A16" s="3" t="s">
        <v>154</v>
      </c>
      <c r="B16" s="3" t="s">
        <v>135</v>
      </c>
      <c r="C16" s="54" t="s">
        <v>32</v>
      </c>
      <c r="D16" s="3">
        <v>3</v>
      </c>
      <c r="E16" s="3" t="s">
        <v>33</v>
      </c>
      <c r="F16" s="3" t="s">
        <v>102</v>
      </c>
      <c r="G16" s="3" t="s">
        <v>34</v>
      </c>
      <c r="H16" s="3" t="s">
        <v>76</v>
      </c>
      <c r="I16" s="3" t="s">
        <v>98</v>
      </c>
      <c r="J16" s="3">
        <v>1869928</v>
      </c>
      <c r="K16" s="3" t="s">
        <v>103</v>
      </c>
      <c r="L16" s="3">
        <v>3016666239</v>
      </c>
      <c r="M16" s="13">
        <v>45906</v>
      </c>
      <c r="N16" s="3" t="s">
        <v>35</v>
      </c>
      <c r="O16" s="3" t="s">
        <v>36</v>
      </c>
      <c r="P16" s="72">
        <v>3.45</v>
      </c>
      <c r="Q16" s="72">
        <v>0</v>
      </c>
      <c r="R16" s="72">
        <v>0</v>
      </c>
      <c r="S16" s="72">
        <v>0</v>
      </c>
      <c r="T16" s="72">
        <v>0</v>
      </c>
      <c r="U16" s="72">
        <v>0</v>
      </c>
      <c r="V16" s="72">
        <v>0</v>
      </c>
      <c r="W16" s="72">
        <v>0</v>
      </c>
      <c r="X16" s="72">
        <v>0</v>
      </c>
      <c r="Y16" s="72">
        <v>0</v>
      </c>
      <c r="Z16" s="72">
        <v>0</v>
      </c>
      <c r="AA16" s="72">
        <v>0</v>
      </c>
      <c r="AB16" s="72">
        <v>0</v>
      </c>
      <c r="AC16" s="72">
        <v>0</v>
      </c>
      <c r="AD16" s="72">
        <v>0</v>
      </c>
      <c r="AE16" s="72">
        <v>0</v>
      </c>
      <c r="AF16" s="72">
        <v>0</v>
      </c>
      <c r="AG16" s="72">
        <v>0</v>
      </c>
      <c r="AH16" s="72">
        <v>0</v>
      </c>
      <c r="AI16" s="72">
        <v>0</v>
      </c>
      <c r="AJ16" s="72">
        <v>0</v>
      </c>
      <c r="AK16" s="72">
        <v>0</v>
      </c>
      <c r="AL16" s="72">
        <v>0</v>
      </c>
      <c r="AM16" s="72">
        <v>0</v>
      </c>
      <c r="AN16" s="72">
        <v>0</v>
      </c>
      <c r="AO16" s="72">
        <v>0</v>
      </c>
      <c r="AP16" s="72">
        <v>0</v>
      </c>
      <c r="AQ16" s="72">
        <v>0</v>
      </c>
      <c r="AR16" s="72">
        <v>0</v>
      </c>
      <c r="AS16" s="73">
        <f t="shared" si="31"/>
        <v>3.45</v>
      </c>
      <c r="AT16" s="3"/>
    </row>
    <row r="17" spans="1:46" x14ac:dyDescent="0.25">
      <c r="A17" s="3" t="s">
        <v>154</v>
      </c>
      <c r="B17" s="3" t="s">
        <v>135</v>
      </c>
      <c r="C17" s="54" t="s">
        <v>32</v>
      </c>
      <c r="D17" s="3">
        <v>3</v>
      </c>
      <c r="E17" s="3" t="s">
        <v>33</v>
      </c>
      <c r="F17" s="3" t="s">
        <v>104</v>
      </c>
      <c r="G17" s="3" t="s">
        <v>34</v>
      </c>
      <c r="H17" s="3" t="s">
        <v>76</v>
      </c>
      <c r="I17" s="3" t="s">
        <v>98</v>
      </c>
      <c r="J17" s="3">
        <v>2160759</v>
      </c>
      <c r="K17" s="3" t="s">
        <v>105</v>
      </c>
      <c r="L17" s="3">
        <v>3202279425</v>
      </c>
      <c r="M17" s="13">
        <v>45895</v>
      </c>
      <c r="N17" s="3" t="s">
        <v>40</v>
      </c>
      <c r="O17" s="3" t="s">
        <v>36</v>
      </c>
      <c r="P17" s="72">
        <v>0</v>
      </c>
      <c r="Q17" s="72">
        <v>0</v>
      </c>
      <c r="R17" s="72">
        <v>3.45</v>
      </c>
      <c r="S17" s="72">
        <v>0</v>
      </c>
      <c r="T17" s="72">
        <v>0</v>
      </c>
      <c r="U17" s="72">
        <v>0</v>
      </c>
      <c r="V17" s="72">
        <v>0</v>
      </c>
      <c r="W17" s="72">
        <v>0</v>
      </c>
      <c r="X17" s="72">
        <v>0</v>
      </c>
      <c r="Y17" s="72">
        <v>0</v>
      </c>
      <c r="Z17" s="72">
        <v>0</v>
      </c>
      <c r="AA17" s="72">
        <v>0</v>
      </c>
      <c r="AB17" s="72">
        <v>0</v>
      </c>
      <c r="AC17" s="72">
        <v>0</v>
      </c>
      <c r="AD17" s="72">
        <v>0</v>
      </c>
      <c r="AE17" s="72">
        <v>0</v>
      </c>
      <c r="AF17" s="72">
        <v>3.45</v>
      </c>
      <c r="AG17" s="72">
        <v>0</v>
      </c>
      <c r="AH17" s="72">
        <v>0</v>
      </c>
      <c r="AI17" s="72">
        <v>0</v>
      </c>
      <c r="AJ17" s="72">
        <v>0</v>
      </c>
      <c r="AK17" s="72">
        <v>0</v>
      </c>
      <c r="AL17" s="72">
        <v>0</v>
      </c>
      <c r="AM17" s="72">
        <v>0</v>
      </c>
      <c r="AN17" s="72">
        <v>0</v>
      </c>
      <c r="AO17" s="72">
        <v>0</v>
      </c>
      <c r="AP17" s="72">
        <v>0</v>
      </c>
      <c r="AQ17" s="72">
        <v>0</v>
      </c>
      <c r="AR17" s="72">
        <v>0</v>
      </c>
      <c r="AS17" s="73">
        <f t="shared" si="31"/>
        <v>6.9</v>
      </c>
      <c r="AT17" s="3"/>
    </row>
    <row r="18" spans="1:46" x14ac:dyDescent="0.25">
      <c r="A18" s="3" t="s">
        <v>154</v>
      </c>
      <c r="B18" s="3" t="s">
        <v>135</v>
      </c>
      <c r="C18" s="54" t="s">
        <v>32</v>
      </c>
      <c r="D18" s="3">
        <v>3</v>
      </c>
      <c r="E18" s="3" t="s">
        <v>33</v>
      </c>
      <c r="F18" s="3" t="s">
        <v>106</v>
      </c>
      <c r="G18" s="3" t="s">
        <v>34</v>
      </c>
      <c r="H18" s="3" t="s">
        <v>76</v>
      </c>
      <c r="I18" s="3" t="s">
        <v>98</v>
      </c>
      <c r="J18" s="3">
        <v>2052224</v>
      </c>
      <c r="K18" s="3" t="s">
        <v>107</v>
      </c>
      <c r="L18" s="3">
        <v>3102103741</v>
      </c>
      <c r="M18" s="13">
        <v>45897</v>
      </c>
      <c r="N18" s="3" t="s">
        <v>91</v>
      </c>
      <c r="O18" s="3" t="s">
        <v>36</v>
      </c>
      <c r="P18" s="72">
        <v>0</v>
      </c>
      <c r="Q18" s="72">
        <v>0</v>
      </c>
      <c r="R18" s="72">
        <v>0</v>
      </c>
      <c r="S18" s="72">
        <v>0</v>
      </c>
      <c r="T18" s="72">
        <v>3.45</v>
      </c>
      <c r="U18" s="72">
        <v>3.45</v>
      </c>
      <c r="V18" s="72">
        <v>3.45</v>
      </c>
      <c r="W18" s="72">
        <v>0</v>
      </c>
      <c r="X18" s="72">
        <v>0</v>
      </c>
      <c r="Y18" s="72">
        <v>0</v>
      </c>
      <c r="Z18" s="72">
        <v>0</v>
      </c>
      <c r="AA18" s="72">
        <v>0</v>
      </c>
      <c r="AB18" s="72">
        <v>0</v>
      </c>
      <c r="AC18" s="72">
        <v>0</v>
      </c>
      <c r="AD18" s="72">
        <v>0</v>
      </c>
      <c r="AE18" s="72">
        <v>0</v>
      </c>
      <c r="AF18" s="72">
        <v>0</v>
      </c>
      <c r="AG18" s="72">
        <v>0</v>
      </c>
      <c r="AH18" s="72">
        <v>0</v>
      </c>
      <c r="AI18" s="72">
        <v>0</v>
      </c>
      <c r="AJ18" s="72">
        <v>0</v>
      </c>
      <c r="AK18" s="72">
        <v>0</v>
      </c>
      <c r="AL18" s="72">
        <v>0</v>
      </c>
      <c r="AM18" s="72">
        <v>0</v>
      </c>
      <c r="AN18" s="72">
        <v>0</v>
      </c>
      <c r="AO18" s="72">
        <v>0</v>
      </c>
      <c r="AP18" s="72">
        <v>0</v>
      </c>
      <c r="AQ18" s="72">
        <v>0</v>
      </c>
      <c r="AR18" s="72">
        <v>0</v>
      </c>
      <c r="AS18" s="73">
        <f t="shared" si="31"/>
        <v>10.350000000000001</v>
      </c>
      <c r="AT18" s="3"/>
    </row>
    <row r="19" spans="1:46" s="7" customFormat="1" x14ac:dyDescent="0.25">
      <c r="A19" s="11" t="s">
        <v>154</v>
      </c>
      <c r="B19" s="11" t="s">
        <v>135</v>
      </c>
      <c r="C19" s="66" t="s">
        <v>132</v>
      </c>
      <c r="D19" s="67"/>
      <c r="E19" s="67"/>
      <c r="F19" s="67"/>
      <c r="G19" s="67"/>
      <c r="H19" s="67"/>
      <c r="I19" s="67"/>
      <c r="J19" s="11"/>
      <c r="K19" s="11"/>
      <c r="L19" s="11"/>
      <c r="M19" s="12"/>
      <c r="N19" s="11"/>
      <c r="O19" s="11" t="s">
        <v>156</v>
      </c>
      <c r="P19" s="74">
        <f>SUM(P14:P18)</f>
        <v>3.45</v>
      </c>
      <c r="Q19" s="74">
        <f t="shared" ref="Q19" si="32">SUM(Q14:Q18)</f>
        <v>3.45</v>
      </c>
      <c r="R19" s="74">
        <f t="shared" ref="R19" si="33">SUM(R14:R18)</f>
        <v>10.350000000000001</v>
      </c>
      <c r="S19" s="74">
        <f t="shared" ref="S19" si="34">SUM(S14:S18)</f>
        <v>6.9</v>
      </c>
      <c r="T19" s="74">
        <f t="shared" ref="T19" si="35">SUM(T14:T18)</f>
        <v>10.350000000000001</v>
      </c>
      <c r="U19" s="74">
        <f t="shared" ref="U19" si="36">SUM(U14:U18)</f>
        <v>10.350000000000001</v>
      </c>
      <c r="V19" s="74">
        <f t="shared" ref="V19" si="37">SUM(V14:V18)</f>
        <v>10.350000000000001</v>
      </c>
      <c r="W19" s="74">
        <f t="shared" ref="W19" si="38">SUM(W14:W18)</f>
        <v>0</v>
      </c>
      <c r="X19" s="74">
        <f t="shared" ref="X19" si="39">SUM(X14:X18)</f>
        <v>0</v>
      </c>
      <c r="Y19" s="74">
        <f t="shared" ref="Y19" si="40">SUM(Y14:Y18)</f>
        <v>0</v>
      </c>
      <c r="Z19" s="74">
        <f t="shared" ref="Z19" si="41">SUM(Z14:Z18)</f>
        <v>3.45</v>
      </c>
      <c r="AA19" s="74">
        <f t="shared" ref="AA19" si="42">SUM(AA14:AA18)</f>
        <v>3.45</v>
      </c>
      <c r="AB19" s="74">
        <f t="shared" ref="AB19" si="43">SUM(AB14:AB18)</f>
        <v>0</v>
      </c>
      <c r="AC19" s="74">
        <f t="shared" ref="AC19" si="44">SUM(AC14:AC18)</f>
        <v>3.45</v>
      </c>
      <c r="AD19" s="74">
        <f t="shared" ref="AD19" si="45">SUM(AD14:AD18)</f>
        <v>0</v>
      </c>
      <c r="AE19" s="74">
        <f t="shared" ref="AE19" si="46">SUM(AE14:AE18)</f>
        <v>6.9</v>
      </c>
      <c r="AF19" s="74">
        <f t="shared" ref="AF19" si="47">SUM(AF14:AF18)</f>
        <v>10.350000000000001</v>
      </c>
      <c r="AG19" s="74">
        <f t="shared" ref="AG19" si="48">SUM(AG14:AG18)</f>
        <v>0</v>
      </c>
      <c r="AH19" s="74">
        <f t="shared" ref="AH19" si="49">SUM(AH14:AH18)</f>
        <v>0</v>
      </c>
      <c r="AI19" s="74">
        <f t="shared" ref="AI19" si="50">SUM(AI14:AI18)</f>
        <v>0</v>
      </c>
      <c r="AJ19" s="74">
        <f t="shared" ref="AJ19" si="51">SUM(AJ14:AJ18)</f>
        <v>6.9</v>
      </c>
      <c r="AK19" s="74">
        <f t="shared" ref="AK19" si="52">SUM(AK14:AK18)</f>
        <v>0</v>
      </c>
      <c r="AL19" s="74">
        <f t="shared" ref="AL19" si="53">SUM(AL14:AL18)</f>
        <v>0</v>
      </c>
      <c r="AM19" s="74">
        <f t="shared" ref="AM19" si="54">SUM(AM14:AM18)</f>
        <v>0</v>
      </c>
      <c r="AN19" s="74">
        <f t="shared" ref="AN19" si="55">SUM(AN14:AN18)</f>
        <v>0</v>
      </c>
      <c r="AO19" s="74">
        <f t="shared" ref="AO19" si="56">SUM(AO14:AO18)</f>
        <v>0</v>
      </c>
      <c r="AP19" s="74">
        <f t="shared" ref="AP19" si="57">SUM(AP14:AP18)</f>
        <v>0</v>
      </c>
      <c r="AQ19" s="74">
        <f t="shared" ref="AQ19" si="58">SUM(AQ14:AQ18)</f>
        <v>0</v>
      </c>
      <c r="AR19" s="74">
        <f t="shared" ref="AR19" si="59">SUM(AR14:AR18)</f>
        <v>0</v>
      </c>
      <c r="AS19" s="74">
        <f>SUM(AS14:AS18)</f>
        <v>89.700000000000017</v>
      </c>
      <c r="AT19" s="11"/>
    </row>
    <row r="20" spans="1:46" ht="15" customHeight="1" x14ac:dyDescent="0.25">
      <c r="A20" s="55" t="s">
        <v>154</v>
      </c>
      <c r="B20" s="55" t="s">
        <v>135</v>
      </c>
      <c r="C20" s="40"/>
      <c r="D20" s="40"/>
      <c r="E20" s="40"/>
      <c r="F20" s="40"/>
      <c r="G20" s="40"/>
      <c r="H20" s="40"/>
      <c r="I20" s="40"/>
      <c r="J20" s="40"/>
      <c r="K20" s="40"/>
      <c r="L20" s="40"/>
      <c r="M20" s="40"/>
      <c r="N20" s="40"/>
      <c r="O20" s="9" t="s">
        <v>46</v>
      </c>
      <c r="P20" s="75">
        <f t="shared" ref="P20:AS20" si="60">SUM(P7,P13,P19)</f>
        <v>10.350000000000001</v>
      </c>
      <c r="Q20" s="75">
        <f t="shared" si="60"/>
        <v>24.150000000000002</v>
      </c>
      <c r="R20" s="75">
        <f t="shared" si="60"/>
        <v>13.8</v>
      </c>
      <c r="S20" s="75">
        <f t="shared" si="60"/>
        <v>13.8</v>
      </c>
      <c r="T20" s="75">
        <f t="shared" si="60"/>
        <v>27.6</v>
      </c>
      <c r="U20" s="75">
        <f t="shared" si="60"/>
        <v>31.050000000000004</v>
      </c>
      <c r="V20" s="75">
        <f t="shared" si="60"/>
        <v>34.5</v>
      </c>
      <c r="W20" s="75">
        <f t="shared" si="60"/>
        <v>17.25</v>
      </c>
      <c r="X20" s="75">
        <f t="shared" si="60"/>
        <v>6.9</v>
      </c>
      <c r="Y20" s="75">
        <f t="shared" si="60"/>
        <v>13.8</v>
      </c>
      <c r="Z20" s="75">
        <f t="shared" si="60"/>
        <v>6.9</v>
      </c>
      <c r="AA20" s="75">
        <f t="shared" si="60"/>
        <v>3.45</v>
      </c>
      <c r="AB20" s="75">
        <f t="shared" si="60"/>
        <v>0</v>
      </c>
      <c r="AC20" s="75">
        <f t="shared" si="60"/>
        <v>3.45</v>
      </c>
      <c r="AD20" s="75">
        <f t="shared" si="60"/>
        <v>0</v>
      </c>
      <c r="AE20" s="75">
        <f t="shared" si="60"/>
        <v>10.350000000000001</v>
      </c>
      <c r="AF20" s="75">
        <f t="shared" si="60"/>
        <v>10.350000000000001</v>
      </c>
      <c r="AG20" s="75">
        <f t="shared" si="60"/>
        <v>0</v>
      </c>
      <c r="AH20" s="75">
        <f t="shared" si="60"/>
        <v>0</v>
      </c>
      <c r="AI20" s="75">
        <f t="shared" si="60"/>
        <v>0</v>
      </c>
      <c r="AJ20" s="75">
        <f t="shared" si="60"/>
        <v>13.8</v>
      </c>
      <c r="AK20" s="75">
        <f t="shared" si="60"/>
        <v>3.45</v>
      </c>
      <c r="AL20" s="75">
        <f t="shared" si="60"/>
        <v>0</v>
      </c>
      <c r="AM20" s="75">
        <f t="shared" si="60"/>
        <v>0</v>
      </c>
      <c r="AN20" s="75">
        <f t="shared" si="60"/>
        <v>0</v>
      </c>
      <c r="AO20" s="75">
        <f t="shared" si="60"/>
        <v>0</v>
      </c>
      <c r="AP20" s="75">
        <f t="shared" si="60"/>
        <v>0</v>
      </c>
      <c r="AQ20" s="75">
        <f t="shared" si="60"/>
        <v>0</v>
      </c>
      <c r="AR20" s="75">
        <f t="shared" si="60"/>
        <v>3.45</v>
      </c>
      <c r="AS20" s="75">
        <f t="shared" si="60"/>
        <v>248.4</v>
      </c>
      <c r="AT20" s="56"/>
    </row>
    <row r="21" spans="1:46" ht="15" customHeight="1" x14ac:dyDescent="0.25">
      <c r="A21" s="3" t="s">
        <v>154</v>
      </c>
      <c r="B21" s="3" t="s">
        <v>136</v>
      </c>
      <c r="C21" s="54" t="s">
        <v>32</v>
      </c>
      <c r="D21" s="3">
        <v>3</v>
      </c>
      <c r="E21" s="3" t="s">
        <v>33</v>
      </c>
      <c r="F21" s="34" t="s">
        <v>75</v>
      </c>
      <c r="G21" s="3" t="s">
        <v>34</v>
      </c>
      <c r="H21" s="3" t="s">
        <v>76</v>
      </c>
      <c r="I21" s="3" t="s">
        <v>77</v>
      </c>
      <c r="J21" s="3">
        <v>2036644</v>
      </c>
      <c r="K21" s="3" t="s">
        <v>78</v>
      </c>
      <c r="L21" s="3">
        <v>3188120410</v>
      </c>
      <c r="M21" s="13">
        <v>45903</v>
      </c>
      <c r="N21" s="3" t="s">
        <v>40</v>
      </c>
      <c r="O21" s="3" t="s">
        <v>36</v>
      </c>
      <c r="P21" s="72">
        <v>0</v>
      </c>
      <c r="Q21" s="72">
        <v>0</v>
      </c>
      <c r="R21" s="72">
        <v>0</v>
      </c>
      <c r="S21" s="72">
        <v>0</v>
      </c>
      <c r="T21" s="72">
        <v>0</v>
      </c>
      <c r="U21" s="72">
        <v>0</v>
      </c>
      <c r="V21" s="72">
        <v>0</v>
      </c>
      <c r="W21" s="72">
        <v>0</v>
      </c>
      <c r="X21" s="72">
        <v>0</v>
      </c>
      <c r="Y21" s="72">
        <v>0</v>
      </c>
      <c r="Z21" s="72">
        <v>0</v>
      </c>
      <c r="AA21" s="72">
        <v>0</v>
      </c>
      <c r="AB21" s="72">
        <v>0</v>
      </c>
      <c r="AC21" s="72">
        <v>0</v>
      </c>
      <c r="AD21" s="72">
        <v>0</v>
      </c>
      <c r="AE21" s="72">
        <v>0</v>
      </c>
      <c r="AF21" s="72">
        <v>0</v>
      </c>
      <c r="AG21" s="72">
        <v>0</v>
      </c>
      <c r="AH21" s="72">
        <v>0</v>
      </c>
      <c r="AI21" s="72">
        <v>0</v>
      </c>
      <c r="AJ21" s="72">
        <v>0</v>
      </c>
      <c r="AK21" s="72">
        <v>0</v>
      </c>
      <c r="AL21" s="72">
        <v>0</v>
      </c>
      <c r="AM21" s="72">
        <v>0</v>
      </c>
      <c r="AN21" s="72">
        <v>0</v>
      </c>
      <c r="AO21" s="72">
        <v>0</v>
      </c>
      <c r="AP21" s="72">
        <v>0</v>
      </c>
      <c r="AQ21" s="72">
        <v>0</v>
      </c>
      <c r="AR21" s="72">
        <v>0</v>
      </c>
      <c r="AS21" s="73">
        <f>SUMIF(P21:AR21,3.45)</f>
        <v>0</v>
      </c>
      <c r="AT21" s="3"/>
    </row>
    <row r="22" spans="1:46" ht="15" customHeight="1" x14ac:dyDescent="0.25">
      <c r="A22" s="3" t="s">
        <v>154</v>
      </c>
      <c r="B22" s="3" t="s">
        <v>136</v>
      </c>
      <c r="C22" s="54" t="s">
        <v>32</v>
      </c>
      <c r="D22" s="3">
        <v>3</v>
      </c>
      <c r="E22" s="3" t="s">
        <v>33</v>
      </c>
      <c r="F22" s="3" t="s">
        <v>79</v>
      </c>
      <c r="G22" s="3" t="s">
        <v>34</v>
      </c>
      <c r="H22" s="3" t="s">
        <v>76</v>
      </c>
      <c r="I22" s="3" t="s">
        <v>77</v>
      </c>
      <c r="J22" s="3">
        <v>2012501</v>
      </c>
      <c r="K22" s="3" t="s">
        <v>80</v>
      </c>
      <c r="L22" s="3">
        <v>3124250477</v>
      </c>
      <c r="M22" s="13">
        <v>45895</v>
      </c>
      <c r="N22" s="3" t="s">
        <v>39</v>
      </c>
      <c r="O22" s="3" t="s">
        <v>36</v>
      </c>
      <c r="P22" s="72">
        <v>0</v>
      </c>
      <c r="Q22" s="72">
        <v>0</v>
      </c>
      <c r="R22" s="72">
        <v>0</v>
      </c>
      <c r="S22" s="72">
        <v>0</v>
      </c>
      <c r="T22" s="72">
        <v>0</v>
      </c>
      <c r="U22" s="72">
        <v>0</v>
      </c>
      <c r="V22" s="72">
        <v>0</v>
      </c>
      <c r="W22" s="72">
        <v>0</v>
      </c>
      <c r="X22" s="72">
        <v>0</v>
      </c>
      <c r="Y22" s="72">
        <v>0</v>
      </c>
      <c r="Z22" s="72">
        <v>0</v>
      </c>
      <c r="AA22" s="72">
        <v>0</v>
      </c>
      <c r="AB22" s="72">
        <v>0</v>
      </c>
      <c r="AC22" s="72">
        <v>0</v>
      </c>
      <c r="AD22" s="72">
        <v>0</v>
      </c>
      <c r="AE22" s="72">
        <v>0</v>
      </c>
      <c r="AF22" s="72">
        <v>0</v>
      </c>
      <c r="AG22" s="72">
        <v>0</v>
      </c>
      <c r="AH22" s="72">
        <v>0</v>
      </c>
      <c r="AI22" s="72">
        <v>0</v>
      </c>
      <c r="AJ22" s="72">
        <v>0</v>
      </c>
      <c r="AK22" s="72">
        <v>0</v>
      </c>
      <c r="AL22" s="72">
        <v>0</v>
      </c>
      <c r="AM22" s="72">
        <v>0</v>
      </c>
      <c r="AN22" s="72">
        <v>0</v>
      </c>
      <c r="AO22" s="72">
        <v>0</v>
      </c>
      <c r="AP22" s="72">
        <v>0</v>
      </c>
      <c r="AQ22" s="72">
        <v>0</v>
      </c>
      <c r="AR22" s="72">
        <v>0</v>
      </c>
      <c r="AS22" s="73">
        <f t="shared" ref="AS22:AS25" si="61">SUMIF(P22:AR22,3.45)</f>
        <v>0</v>
      </c>
      <c r="AT22" s="3"/>
    </row>
    <row r="23" spans="1:46" ht="15" customHeight="1" x14ac:dyDescent="0.25">
      <c r="A23" s="3" t="s">
        <v>154</v>
      </c>
      <c r="B23" s="3" t="s">
        <v>136</v>
      </c>
      <c r="C23" s="54" t="s">
        <v>32</v>
      </c>
      <c r="D23" s="3">
        <v>3</v>
      </c>
      <c r="E23" s="3" t="s">
        <v>33</v>
      </c>
      <c r="F23" s="3" t="s">
        <v>81</v>
      </c>
      <c r="G23" s="3" t="s">
        <v>34</v>
      </c>
      <c r="H23" s="3" t="s">
        <v>76</v>
      </c>
      <c r="I23" s="3" t="s">
        <v>77</v>
      </c>
      <c r="J23" s="3">
        <v>1980561</v>
      </c>
      <c r="K23" s="3" t="s">
        <v>82</v>
      </c>
      <c r="L23" s="3">
        <v>3136765995</v>
      </c>
      <c r="M23" s="13">
        <v>45895</v>
      </c>
      <c r="N23" s="3" t="s">
        <v>41</v>
      </c>
      <c r="O23" s="3" t="s">
        <v>36</v>
      </c>
      <c r="P23" s="72">
        <v>0</v>
      </c>
      <c r="Q23" s="72">
        <v>0</v>
      </c>
      <c r="R23" s="72">
        <v>0</v>
      </c>
      <c r="S23" s="72">
        <v>0</v>
      </c>
      <c r="T23" s="72">
        <v>0</v>
      </c>
      <c r="U23" s="72">
        <v>0</v>
      </c>
      <c r="V23" s="72">
        <v>0</v>
      </c>
      <c r="W23" s="72">
        <v>0</v>
      </c>
      <c r="X23" s="72">
        <v>0</v>
      </c>
      <c r="Y23" s="72">
        <v>0</v>
      </c>
      <c r="Z23" s="72">
        <v>0</v>
      </c>
      <c r="AA23" s="72">
        <v>0</v>
      </c>
      <c r="AB23" s="72">
        <v>0</v>
      </c>
      <c r="AC23" s="72">
        <v>0</v>
      </c>
      <c r="AD23" s="72">
        <v>0</v>
      </c>
      <c r="AE23" s="72">
        <v>0</v>
      </c>
      <c r="AF23" s="72">
        <v>0</v>
      </c>
      <c r="AG23" s="72">
        <v>0</v>
      </c>
      <c r="AH23" s="72">
        <v>0</v>
      </c>
      <c r="AI23" s="72">
        <v>0</v>
      </c>
      <c r="AJ23" s="72">
        <v>0</v>
      </c>
      <c r="AK23" s="72">
        <v>0</v>
      </c>
      <c r="AL23" s="72">
        <v>0</v>
      </c>
      <c r="AM23" s="72">
        <v>0</v>
      </c>
      <c r="AN23" s="72">
        <v>0</v>
      </c>
      <c r="AO23" s="72">
        <v>0</v>
      </c>
      <c r="AP23" s="72">
        <v>0</v>
      </c>
      <c r="AQ23" s="72">
        <v>0</v>
      </c>
      <c r="AR23" s="72">
        <v>0</v>
      </c>
      <c r="AS23" s="73">
        <f t="shared" si="61"/>
        <v>0</v>
      </c>
      <c r="AT23" s="3"/>
    </row>
    <row r="24" spans="1:46" ht="15" customHeight="1" x14ac:dyDescent="0.25">
      <c r="A24" s="3" t="s">
        <v>154</v>
      </c>
      <c r="B24" s="3" t="s">
        <v>136</v>
      </c>
      <c r="C24" s="54" t="s">
        <v>32</v>
      </c>
      <c r="D24" s="3">
        <v>3</v>
      </c>
      <c r="E24" s="3" t="s">
        <v>33</v>
      </c>
      <c r="F24" s="3" t="s">
        <v>83</v>
      </c>
      <c r="G24" s="3" t="s">
        <v>34</v>
      </c>
      <c r="H24" s="3" t="s">
        <v>76</v>
      </c>
      <c r="I24" s="3" t="s">
        <v>77</v>
      </c>
      <c r="J24" s="3">
        <v>1912585</v>
      </c>
      <c r="K24" s="3"/>
      <c r="L24" s="3">
        <v>3136730889</v>
      </c>
      <c r="M24" s="13">
        <v>45894</v>
      </c>
      <c r="N24" s="3" t="s">
        <v>37</v>
      </c>
      <c r="O24" s="3" t="s">
        <v>36</v>
      </c>
      <c r="P24" s="72">
        <v>0</v>
      </c>
      <c r="Q24" s="72">
        <v>0</v>
      </c>
      <c r="R24" s="72">
        <v>0</v>
      </c>
      <c r="S24" s="72">
        <v>0</v>
      </c>
      <c r="T24" s="72">
        <v>0</v>
      </c>
      <c r="U24" s="72">
        <v>0</v>
      </c>
      <c r="V24" s="72">
        <v>0</v>
      </c>
      <c r="W24" s="72">
        <v>0</v>
      </c>
      <c r="X24" s="72">
        <v>0</v>
      </c>
      <c r="Y24" s="72">
        <v>0</v>
      </c>
      <c r="Z24" s="72">
        <v>0</v>
      </c>
      <c r="AA24" s="72">
        <v>0</v>
      </c>
      <c r="AB24" s="72">
        <v>0</v>
      </c>
      <c r="AC24" s="72">
        <v>0</v>
      </c>
      <c r="AD24" s="72">
        <v>0</v>
      </c>
      <c r="AE24" s="72">
        <v>0</v>
      </c>
      <c r="AF24" s="72">
        <v>0</v>
      </c>
      <c r="AG24" s="72">
        <v>0</v>
      </c>
      <c r="AH24" s="72">
        <v>0</v>
      </c>
      <c r="AI24" s="72">
        <v>0</v>
      </c>
      <c r="AJ24" s="72">
        <v>0</v>
      </c>
      <c r="AK24" s="72">
        <v>0</v>
      </c>
      <c r="AL24" s="72">
        <v>0</v>
      </c>
      <c r="AM24" s="72">
        <v>0</v>
      </c>
      <c r="AN24" s="72">
        <v>0</v>
      </c>
      <c r="AO24" s="72">
        <v>0</v>
      </c>
      <c r="AP24" s="72">
        <v>0</v>
      </c>
      <c r="AQ24" s="72">
        <v>0</v>
      </c>
      <c r="AR24" s="72">
        <v>0</v>
      </c>
      <c r="AS24" s="73">
        <f t="shared" si="61"/>
        <v>0</v>
      </c>
      <c r="AT24" s="3"/>
    </row>
    <row r="25" spans="1:46" ht="15" customHeight="1" x14ac:dyDescent="0.25">
      <c r="A25" s="3" t="s">
        <v>154</v>
      </c>
      <c r="B25" s="3" t="s">
        <v>136</v>
      </c>
      <c r="C25" s="54" t="s">
        <v>32</v>
      </c>
      <c r="D25" s="3">
        <v>3</v>
      </c>
      <c r="E25" s="3" t="s">
        <v>33</v>
      </c>
      <c r="F25" s="3" t="s">
        <v>84</v>
      </c>
      <c r="G25" s="3" t="s">
        <v>34</v>
      </c>
      <c r="H25" s="3" t="s">
        <v>76</v>
      </c>
      <c r="I25" s="3" t="s">
        <v>77</v>
      </c>
      <c r="J25" s="3">
        <v>1862296</v>
      </c>
      <c r="K25" s="3" t="s">
        <v>85</v>
      </c>
      <c r="L25" s="3">
        <v>3195715429</v>
      </c>
      <c r="M25" s="13">
        <v>45898</v>
      </c>
      <c r="N25" s="3" t="s">
        <v>38</v>
      </c>
      <c r="O25" s="3" t="s">
        <v>36</v>
      </c>
      <c r="P25" s="72">
        <v>0</v>
      </c>
      <c r="Q25" s="72">
        <v>0</v>
      </c>
      <c r="R25" s="72">
        <v>0</v>
      </c>
      <c r="S25" s="72">
        <v>0</v>
      </c>
      <c r="T25" s="72">
        <v>0</v>
      </c>
      <c r="U25" s="72">
        <v>0</v>
      </c>
      <c r="V25" s="72">
        <v>0</v>
      </c>
      <c r="W25" s="72">
        <v>0</v>
      </c>
      <c r="X25" s="72">
        <v>0</v>
      </c>
      <c r="Y25" s="72">
        <v>0</v>
      </c>
      <c r="Z25" s="72">
        <v>0</v>
      </c>
      <c r="AA25" s="72">
        <v>0</v>
      </c>
      <c r="AB25" s="72">
        <v>0</v>
      </c>
      <c r="AC25" s="72">
        <v>0</v>
      </c>
      <c r="AD25" s="72">
        <v>0</v>
      </c>
      <c r="AE25" s="72">
        <v>0</v>
      </c>
      <c r="AF25" s="72">
        <v>0</v>
      </c>
      <c r="AG25" s="72">
        <v>0</v>
      </c>
      <c r="AH25" s="72">
        <v>0</v>
      </c>
      <c r="AI25" s="72">
        <v>0</v>
      </c>
      <c r="AJ25" s="72">
        <v>0</v>
      </c>
      <c r="AK25" s="72">
        <v>0</v>
      </c>
      <c r="AL25" s="72">
        <v>0</v>
      </c>
      <c r="AM25" s="72">
        <v>0</v>
      </c>
      <c r="AN25" s="72">
        <v>0</v>
      </c>
      <c r="AO25" s="72">
        <v>0</v>
      </c>
      <c r="AP25" s="72">
        <v>0</v>
      </c>
      <c r="AQ25" s="72">
        <v>0</v>
      </c>
      <c r="AR25" s="72">
        <v>0</v>
      </c>
      <c r="AS25" s="73">
        <f t="shared" si="61"/>
        <v>0</v>
      </c>
      <c r="AT25" s="3"/>
    </row>
    <row r="26" spans="1:46" ht="15" customHeight="1" x14ac:dyDescent="0.25">
      <c r="A26" s="11" t="s">
        <v>154</v>
      </c>
      <c r="B26" s="11" t="s">
        <v>136</v>
      </c>
      <c r="C26" s="66" t="s">
        <v>130</v>
      </c>
      <c r="D26" s="67"/>
      <c r="E26" s="67"/>
      <c r="F26" s="67"/>
      <c r="G26" s="67"/>
      <c r="H26" s="67"/>
      <c r="I26" s="67"/>
      <c r="J26" s="11"/>
      <c r="K26" s="11"/>
      <c r="L26" s="11"/>
      <c r="M26" s="12"/>
      <c r="N26" s="11"/>
      <c r="O26" s="11" t="s">
        <v>156</v>
      </c>
      <c r="P26" s="74">
        <f>SUM(P21:P25)</f>
        <v>0</v>
      </c>
      <c r="Q26" s="74">
        <f t="shared" ref="Q26" si="62">SUM(Q21:Q25)</f>
        <v>0</v>
      </c>
      <c r="R26" s="74">
        <f t="shared" ref="R26" si="63">SUM(R21:R25)</f>
        <v>0</v>
      </c>
      <c r="S26" s="74">
        <f t="shared" ref="S26" si="64">SUM(S21:S25)</f>
        <v>0</v>
      </c>
      <c r="T26" s="74">
        <f t="shared" ref="T26" si="65">SUM(T21:T25)</f>
        <v>0</v>
      </c>
      <c r="U26" s="74">
        <f t="shared" ref="U26" si="66">SUM(U21:U25)</f>
        <v>0</v>
      </c>
      <c r="V26" s="74">
        <f t="shared" ref="V26" si="67">SUM(V21:V25)</f>
        <v>0</v>
      </c>
      <c r="W26" s="74">
        <f t="shared" ref="W26" si="68">SUM(W21:W25)</f>
        <v>0</v>
      </c>
      <c r="X26" s="74">
        <f t="shared" ref="X26" si="69">SUM(X21:X25)</f>
        <v>0</v>
      </c>
      <c r="Y26" s="74">
        <f t="shared" ref="Y26" si="70">SUM(Y21:Y25)</f>
        <v>0</v>
      </c>
      <c r="Z26" s="74">
        <f t="shared" ref="Z26" si="71">SUM(Z21:Z25)</f>
        <v>0</v>
      </c>
      <c r="AA26" s="74">
        <f t="shared" ref="AA26" si="72">SUM(AA21:AA25)</f>
        <v>0</v>
      </c>
      <c r="AB26" s="74">
        <f t="shared" ref="AB26" si="73">SUM(AB21:AB25)</f>
        <v>0</v>
      </c>
      <c r="AC26" s="74">
        <f t="shared" ref="AC26" si="74">SUM(AC21:AC25)</f>
        <v>0</v>
      </c>
      <c r="AD26" s="74">
        <f t="shared" ref="AD26" si="75">SUM(AD21:AD25)</f>
        <v>0</v>
      </c>
      <c r="AE26" s="74">
        <f t="shared" ref="AE26" si="76">SUM(AE21:AE25)</f>
        <v>0</v>
      </c>
      <c r="AF26" s="74">
        <f t="shared" ref="AF26" si="77">SUM(AF21:AF25)</f>
        <v>0</v>
      </c>
      <c r="AG26" s="74">
        <f t="shared" ref="AG26" si="78">SUM(AG21:AG25)</f>
        <v>0</v>
      </c>
      <c r="AH26" s="74">
        <f t="shared" ref="AH26" si="79">SUM(AH21:AH25)</f>
        <v>0</v>
      </c>
      <c r="AI26" s="74">
        <f t="shared" ref="AI26" si="80">SUM(AI21:AI25)</f>
        <v>0</v>
      </c>
      <c r="AJ26" s="74">
        <f t="shared" ref="AJ26" si="81">SUM(AJ21:AJ25)</f>
        <v>0</v>
      </c>
      <c r="AK26" s="74">
        <f t="shared" ref="AK26" si="82">SUM(AK21:AK25)</f>
        <v>0</v>
      </c>
      <c r="AL26" s="74">
        <f t="shared" ref="AL26" si="83">SUM(AL21:AL25)</f>
        <v>0</v>
      </c>
      <c r="AM26" s="74">
        <f t="shared" ref="AM26" si="84">SUM(AM21:AM25)</f>
        <v>0</v>
      </c>
      <c r="AN26" s="74">
        <f t="shared" ref="AN26" si="85">SUM(AN21:AN25)</f>
        <v>0</v>
      </c>
      <c r="AO26" s="74">
        <f t="shared" ref="AO26" si="86">SUM(AO21:AO25)</f>
        <v>0</v>
      </c>
      <c r="AP26" s="74">
        <f t="shared" ref="AP26" si="87">SUM(AP21:AP25)</f>
        <v>0</v>
      </c>
      <c r="AQ26" s="74">
        <f t="shared" ref="AQ26" si="88">SUM(AQ21:AQ25)</f>
        <v>0</v>
      </c>
      <c r="AR26" s="74">
        <f t="shared" ref="AR26" si="89">SUM(AR21:AR25)</f>
        <v>0</v>
      </c>
      <c r="AS26" s="74">
        <f>SUM(AS21:AS25)</f>
        <v>0</v>
      </c>
      <c r="AT26" s="11"/>
    </row>
    <row r="27" spans="1:46" ht="15" customHeight="1" x14ac:dyDescent="0.25">
      <c r="A27" s="3" t="s">
        <v>154</v>
      </c>
      <c r="B27" s="3" t="s">
        <v>136</v>
      </c>
      <c r="C27" s="54" t="s">
        <v>32</v>
      </c>
      <c r="D27" s="3">
        <v>3</v>
      </c>
      <c r="E27" s="3" t="s">
        <v>33</v>
      </c>
      <c r="F27" s="3" t="s">
        <v>86</v>
      </c>
      <c r="G27" s="3" t="s">
        <v>34</v>
      </c>
      <c r="H27" s="3" t="s">
        <v>76</v>
      </c>
      <c r="I27" s="3" t="s">
        <v>87</v>
      </c>
      <c r="J27" s="3">
        <v>2116291</v>
      </c>
      <c r="K27" s="3" t="s">
        <v>88</v>
      </c>
      <c r="L27" s="3">
        <v>3017616045</v>
      </c>
      <c r="M27" s="13">
        <v>45894</v>
      </c>
      <c r="N27" s="3" t="s">
        <v>39</v>
      </c>
      <c r="O27" s="3" t="s">
        <v>36</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0</v>
      </c>
      <c r="AN27" s="72">
        <v>0</v>
      </c>
      <c r="AO27" s="72">
        <v>0</v>
      </c>
      <c r="AP27" s="72">
        <v>0</v>
      </c>
      <c r="AQ27" s="72">
        <v>0</v>
      </c>
      <c r="AR27" s="72">
        <v>0</v>
      </c>
      <c r="AS27" s="73">
        <f>SUMIF(P27:AR27,3.45)</f>
        <v>0</v>
      </c>
      <c r="AT27" s="3"/>
    </row>
    <row r="28" spans="1:46" ht="15" customHeight="1" x14ac:dyDescent="0.25">
      <c r="A28" s="3" t="s">
        <v>154</v>
      </c>
      <c r="B28" s="3" t="s">
        <v>136</v>
      </c>
      <c r="C28" s="54" t="s">
        <v>32</v>
      </c>
      <c r="D28" s="3">
        <v>3</v>
      </c>
      <c r="E28" s="3" t="s">
        <v>33</v>
      </c>
      <c r="F28" s="3" t="s">
        <v>89</v>
      </c>
      <c r="G28" s="3" t="s">
        <v>34</v>
      </c>
      <c r="H28" s="3" t="s">
        <v>76</v>
      </c>
      <c r="I28" s="3" t="s">
        <v>87</v>
      </c>
      <c r="J28" s="3">
        <v>2124205</v>
      </c>
      <c r="K28" s="3" t="s">
        <v>90</v>
      </c>
      <c r="L28" s="3">
        <v>3217239673</v>
      </c>
      <c r="M28" s="13">
        <v>45917</v>
      </c>
      <c r="N28" s="3" t="s">
        <v>91</v>
      </c>
      <c r="O28" s="3" t="s">
        <v>36</v>
      </c>
      <c r="P28" s="72">
        <v>0</v>
      </c>
      <c r="Q28" s="72">
        <v>0</v>
      </c>
      <c r="R28" s="72">
        <v>0</v>
      </c>
      <c r="S28" s="72">
        <v>0</v>
      </c>
      <c r="T28" s="72">
        <v>0</v>
      </c>
      <c r="U28" s="72">
        <v>0</v>
      </c>
      <c r="V28" s="72">
        <v>0</v>
      </c>
      <c r="W28" s="72">
        <v>0</v>
      </c>
      <c r="X28" s="72">
        <v>0</v>
      </c>
      <c r="Y28" s="72">
        <v>0</v>
      </c>
      <c r="Z28" s="72">
        <v>0</v>
      </c>
      <c r="AA28" s="72">
        <v>0</v>
      </c>
      <c r="AB28" s="72">
        <v>0</v>
      </c>
      <c r="AC28" s="72">
        <v>0</v>
      </c>
      <c r="AD28" s="72">
        <v>0</v>
      </c>
      <c r="AE28" s="72">
        <v>0</v>
      </c>
      <c r="AF28" s="72">
        <v>0</v>
      </c>
      <c r="AG28" s="72">
        <v>0</v>
      </c>
      <c r="AH28" s="72">
        <v>0</v>
      </c>
      <c r="AI28" s="72">
        <v>0</v>
      </c>
      <c r="AJ28" s="72">
        <v>0</v>
      </c>
      <c r="AK28" s="72">
        <v>0</v>
      </c>
      <c r="AL28" s="72">
        <v>0</v>
      </c>
      <c r="AM28" s="72">
        <v>0</v>
      </c>
      <c r="AN28" s="72">
        <v>0</v>
      </c>
      <c r="AO28" s="72">
        <v>0</v>
      </c>
      <c r="AP28" s="72">
        <v>0</v>
      </c>
      <c r="AQ28" s="72">
        <v>0</v>
      </c>
      <c r="AR28" s="72">
        <v>0</v>
      </c>
      <c r="AS28" s="73">
        <f t="shared" ref="AS28:AS31" si="90">SUMIF(P28:AR28,3.45)</f>
        <v>0</v>
      </c>
      <c r="AT28" s="3"/>
    </row>
    <row r="29" spans="1:46" ht="15" customHeight="1" x14ac:dyDescent="0.25">
      <c r="A29" s="3" t="s">
        <v>154</v>
      </c>
      <c r="B29" s="3" t="s">
        <v>136</v>
      </c>
      <c r="C29" s="54" t="s">
        <v>32</v>
      </c>
      <c r="D29" s="3">
        <v>3</v>
      </c>
      <c r="E29" s="3" t="s">
        <v>33</v>
      </c>
      <c r="F29" s="3" t="s">
        <v>92</v>
      </c>
      <c r="G29" s="3" t="s">
        <v>34</v>
      </c>
      <c r="H29" s="3" t="s">
        <v>76</v>
      </c>
      <c r="I29" s="3" t="s">
        <v>87</v>
      </c>
      <c r="J29" s="3">
        <v>1113036406</v>
      </c>
      <c r="K29" s="3" t="s">
        <v>93</v>
      </c>
      <c r="L29" s="3">
        <v>3145950331</v>
      </c>
      <c r="M29" s="13">
        <v>45898</v>
      </c>
      <c r="N29" s="3" t="s">
        <v>35</v>
      </c>
      <c r="O29" s="3" t="s">
        <v>36</v>
      </c>
      <c r="P29" s="72">
        <v>0</v>
      </c>
      <c r="Q29" s="72">
        <v>0</v>
      </c>
      <c r="R29" s="72">
        <v>0</v>
      </c>
      <c r="S29" s="72">
        <v>0</v>
      </c>
      <c r="T29" s="72">
        <v>0</v>
      </c>
      <c r="U29" s="72">
        <v>0</v>
      </c>
      <c r="V29" s="72">
        <v>0</v>
      </c>
      <c r="W29" s="72">
        <v>0</v>
      </c>
      <c r="X29" s="72">
        <v>0</v>
      </c>
      <c r="Y29" s="72">
        <v>0</v>
      </c>
      <c r="Z29" s="72">
        <v>0</v>
      </c>
      <c r="AA29" s="72">
        <v>0</v>
      </c>
      <c r="AB29" s="72">
        <v>0</v>
      </c>
      <c r="AC29" s="72">
        <v>0</v>
      </c>
      <c r="AD29" s="72">
        <v>0</v>
      </c>
      <c r="AE29" s="72">
        <v>0</v>
      </c>
      <c r="AF29" s="72">
        <v>0</v>
      </c>
      <c r="AG29" s="72">
        <v>0</v>
      </c>
      <c r="AH29" s="72">
        <v>0</v>
      </c>
      <c r="AI29" s="72">
        <v>0</v>
      </c>
      <c r="AJ29" s="72">
        <v>0</v>
      </c>
      <c r="AK29" s="72">
        <v>0</v>
      </c>
      <c r="AL29" s="72">
        <v>0</v>
      </c>
      <c r="AM29" s="72">
        <v>0</v>
      </c>
      <c r="AN29" s="72">
        <v>0</v>
      </c>
      <c r="AO29" s="72">
        <v>0</v>
      </c>
      <c r="AP29" s="72">
        <v>0</v>
      </c>
      <c r="AQ29" s="72">
        <v>0</v>
      </c>
      <c r="AR29" s="72">
        <v>0</v>
      </c>
      <c r="AS29" s="73">
        <f t="shared" si="90"/>
        <v>0</v>
      </c>
      <c r="AT29" s="3"/>
    </row>
    <row r="30" spans="1:46" ht="15" customHeight="1" x14ac:dyDescent="0.25">
      <c r="A30" s="3" t="s">
        <v>154</v>
      </c>
      <c r="B30" s="3" t="s">
        <v>136</v>
      </c>
      <c r="C30" s="54" t="s">
        <v>32</v>
      </c>
      <c r="D30" s="3">
        <v>3</v>
      </c>
      <c r="E30" s="3" t="s">
        <v>33</v>
      </c>
      <c r="F30" s="3" t="s">
        <v>94</v>
      </c>
      <c r="G30" s="3" t="s">
        <v>34</v>
      </c>
      <c r="H30" s="3" t="s">
        <v>76</v>
      </c>
      <c r="I30" s="3" t="s">
        <v>87</v>
      </c>
      <c r="J30" s="3">
        <v>1879815</v>
      </c>
      <c r="K30" s="3" t="s">
        <v>95</v>
      </c>
      <c r="L30" s="3">
        <v>3222889204</v>
      </c>
      <c r="M30" s="13">
        <v>45894</v>
      </c>
      <c r="N30" s="3" t="s">
        <v>38</v>
      </c>
      <c r="O30" s="3" t="s">
        <v>36</v>
      </c>
      <c r="P30" s="72">
        <v>0</v>
      </c>
      <c r="Q30" s="72">
        <v>0</v>
      </c>
      <c r="R30" s="72">
        <v>0</v>
      </c>
      <c r="S30" s="72">
        <v>0</v>
      </c>
      <c r="T30" s="72">
        <v>0</v>
      </c>
      <c r="U30" s="72">
        <v>0</v>
      </c>
      <c r="V30" s="72">
        <v>0</v>
      </c>
      <c r="W30" s="72">
        <v>0</v>
      </c>
      <c r="X30" s="72">
        <v>0</v>
      </c>
      <c r="Y30" s="72">
        <v>0</v>
      </c>
      <c r="Z30" s="72">
        <v>0</v>
      </c>
      <c r="AA30" s="72">
        <v>0</v>
      </c>
      <c r="AB30" s="72">
        <v>0</v>
      </c>
      <c r="AC30" s="72">
        <v>0</v>
      </c>
      <c r="AD30" s="72">
        <v>0</v>
      </c>
      <c r="AE30" s="72">
        <v>0</v>
      </c>
      <c r="AF30" s="72">
        <v>0</v>
      </c>
      <c r="AG30" s="72">
        <v>0</v>
      </c>
      <c r="AH30" s="72">
        <v>0</v>
      </c>
      <c r="AI30" s="72">
        <v>0</v>
      </c>
      <c r="AJ30" s="72">
        <v>0</v>
      </c>
      <c r="AK30" s="72">
        <v>0</v>
      </c>
      <c r="AL30" s="72">
        <v>0</v>
      </c>
      <c r="AM30" s="72">
        <v>0</v>
      </c>
      <c r="AN30" s="72">
        <v>0</v>
      </c>
      <c r="AO30" s="72">
        <v>0</v>
      </c>
      <c r="AP30" s="72">
        <v>0</v>
      </c>
      <c r="AQ30" s="72">
        <v>0</v>
      </c>
      <c r="AR30" s="72">
        <v>0</v>
      </c>
      <c r="AS30" s="73">
        <f t="shared" si="90"/>
        <v>0</v>
      </c>
      <c r="AT30" s="3"/>
    </row>
    <row r="31" spans="1:46" ht="15" customHeight="1" x14ac:dyDescent="0.25">
      <c r="A31" s="3" t="s">
        <v>154</v>
      </c>
      <c r="B31" s="3" t="s">
        <v>136</v>
      </c>
      <c r="C31" s="54" t="s">
        <v>32</v>
      </c>
      <c r="D31" s="3">
        <v>3</v>
      </c>
      <c r="E31" s="3" t="s">
        <v>33</v>
      </c>
      <c r="F31" s="3" t="s">
        <v>96</v>
      </c>
      <c r="G31" s="3" t="s">
        <v>34</v>
      </c>
      <c r="H31" s="3" t="s">
        <v>76</v>
      </c>
      <c r="I31" s="3" t="s">
        <v>87</v>
      </c>
      <c r="J31" s="3">
        <v>1862295</v>
      </c>
      <c r="K31" s="3" t="s">
        <v>85</v>
      </c>
      <c r="L31" s="3">
        <v>3195715429</v>
      </c>
      <c r="M31" s="13">
        <v>45884</v>
      </c>
      <c r="N31" s="3" t="s">
        <v>39</v>
      </c>
      <c r="O31" s="3" t="s">
        <v>36</v>
      </c>
      <c r="P31" s="72">
        <v>0</v>
      </c>
      <c r="Q31" s="72">
        <v>0</v>
      </c>
      <c r="R31" s="72">
        <v>0</v>
      </c>
      <c r="S31" s="72">
        <v>0</v>
      </c>
      <c r="T31" s="72">
        <v>0</v>
      </c>
      <c r="U31" s="72">
        <v>0</v>
      </c>
      <c r="V31" s="72">
        <v>0</v>
      </c>
      <c r="W31" s="72">
        <v>0</v>
      </c>
      <c r="X31" s="72">
        <v>0</v>
      </c>
      <c r="Y31" s="72">
        <v>0</v>
      </c>
      <c r="Z31" s="72">
        <v>0</v>
      </c>
      <c r="AA31" s="72">
        <v>0</v>
      </c>
      <c r="AB31" s="72">
        <v>0</v>
      </c>
      <c r="AC31" s="72">
        <v>0</v>
      </c>
      <c r="AD31" s="72">
        <v>0</v>
      </c>
      <c r="AE31" s="72">
        <v>0</v>
      </c>
      <c r="AF31" s="72">
        <v>0</v>
      </c>
      <c r="AG31" s="72">
        <v>0</v>
      </c>
      <c r="AH31" s="72">
        <v>0</v>
      </c>
      <c r="AI31" s="72">
        <v>0</v>
      </c>
      <c r="AJ31" s="72">
        <v>0</v>
      </c>
      <c r="AK31" s="72">
        <v>0</v>
      </c>
      <c r="AL31" s="72">
        <v>0</v>
      </c>
      <c r="AM31" s="72">
        <v>0</v>
      </c>
      <c r="AN31" s="72">
        <v>0</v>
      </c>
      <c r="AO31" s="72">
        <v>0</v>
      </c>
      <c r="AP31" s="72">
        <v>0</v>
      </c>
      <c r="AQ31" s="72">
        <v>0</v>
      </c>
      <c r="AR31" s="72">
        <v>0</v>
      </c>
      <c r="AS31" s="73">
        <f t="shared" si="90"/>
        <v>0</v>
      </c>
      <c r="AT31" s="3"/>
    </row>
    <row r="32" spans="1:46" ht="15" customHeight="1" x14ac:dyDescent="0.25">
      <c r="A32" s="11" t="s">
        <v>154</v>
      </c>
      <c r="B32" s="11" t="s">
        <v>136</v>
      </c>
      <c r="C32" s="66" t="s">
        <v>131</v>
      </c>
      <c r="D32" s="67"/>
      <c r="E32" s="67"/>
      <c r="F32" s="67"/>
      <c r="G32" s="67"/>
      <c r="H32" s="67"/>
      <c r="I32" s="67"/>
      <c r="J32" s="11"/>
      <c r="K32" s="11"/>
      <c r="L32" s="11"/>
      <c r="M32" s="12"/>
      <c r="N32" s="11"/>
      <c r="O32" s="11" t="s">
        <v>156</v>
      </c>
      <c r="P32" s="74">
        <f>SUM(P27:P31)</f>
        <v>0</v>
      </c>
      <c r="Q32" s="74">
        <f t="shared" ref="Q32" si="91">SUM(Q27:Q31)</f>
        <v>0</v>
      </c>
      <c r="R32" s="74">
        <f t="shared" ref="R32" si="92">SUM(R27:R31)</f>
        <v>0</v>
      </c>
      <c r="S32" s="74">
        <f t="shared" ref="S32" si="93">SUM(S27:S31)</f>
        <v>0</v>
      </c>
      <c r="T32" s="74">
        <f t="shared" ref="T32" si="94">SUM(T27:T31)</f>
        <v>0</v>
      </c>
      <c r="U32" s="74">
        <f t="shared" ref="U32" si="95">SUM(U27:U31)</f>
        <v>0</v>
      </c>
      <c r="V32" s="74">
        <f t="shared" ref="V32" si="96">SUM(V27:V31)</f>
        <v>0</v>
      </c>
      <c r="W32" s="74">
        <f t="shared" ref="W32" si="97">SUM(W27:W31)</f>
        <v>0</v>
      </c>
      <c r="X32" s="74">
        <f t="shared" ref="X32" si="98">SUM(X27:X31)</f>
        <v>0</v>
      </c>
      <c r="Y32" s="74">
        <f t="shared" ref="Y32" si="99">SUM(Y27:Y31)</f>
        <v>0</v>
      </c>
      <c r="Z32" s="74">
        <f t="shared" ref="Z32" si="100">SUM(Z27:Z31)</f>
        <v>0</v>
      </c>
      <c r="AA32" s="74">
        <f t="shared" ref="AA32" si="101">SUM(AA27:AA31)</f>
        <v>0</v>
      </c>
      <c r="AB32" s="74">
        <f t="shared" ref="AB32" si="102">SUM(AB27:AB31)</f>
        <v>0</v>
      </c>
      <c r="AC32" s="74">
        <f t="shared" ref="AC32" si="103">SUM(AC27:AC31)</f>
        <v>0</v>
      </c>
      <c r="AD32" s="74">
        <f t="shared" ref="AD32" si="104">SUM(AD27:AD31)</f>
        <v>0</v>
      </c>
      <c r="AE32" s="74">
        <f t="shared" ref="AE32" si="105">SUM(AE27:AE31)</f>
        <v>0</v>
      </c>
      <c r="AF32" s="74">
        <f t="shared" ref="AF32" si="106">SUM(AF27:AF31)</f>
        <v>0</v>
      </c>
      <c r="AG32" s="74">
        <f t="shared" ref="AG32" si="107">SUM(AG27:AG31)</f>
        <v>0</v>
      </c>
      <c r="AH32" s="74">
        <f t="shared" ref="AH32" si="108">SUM(AH27:AH31)</f>
        <v>0</v>
      </c>
      <c r="AI32" s="74">
        <f t="shared" ref="AI32" si="109">SUM(AI27:AI31)</f>
        <v>0</v>
      </c>
      <c r="AJ32" s="74">
        <f t="shared" ref="AJ32" si="110">SUM(AJ27:AJ31)</f>
        <v>0</v>
      </c>
      <c r="AK32" s="74">
        <f t="shared" ref="AK32" si="111">SUM(AK27:AK31)</f>
        <v>0</v>
      </c>
      <c r="AL32" s="74">
        <f t="shared" ref="AL32" si="112">SUM(AL27:AL31)</f>
        <v>0</v>
      </c>
      <c r="AM32" s="74">
        <f t="shared" ref="AM32" si="113">SUM(AM27:AM31)</f>
        <v>0</v>
      </c>
      <c r="AN32" s="74">
        <f t="shared" ref="AN32" si="114">SUM(AN27:AN31)</f>
        <v>0</v>
      </c>
      <c r="AO32" s="74">
        <f t="shared" ref="AO32" si="115">SUM(AO27:AO31)</f>
        <v>0</v>
      </c>
      <c r="AP32" s="74">
        <f t="shared" ref="AP32" si="116">SUM(AP27:AP31)</f>
        <v>0</v>
      </c>
      <c r="AQ32" s="74">
        <f t="shared" ref="AQ32" si="117">SUM(AQ27:AQ31)</f>
        <v>0</v>
      </c>
      <c r="AR32" s="74">
        <f t="shared" ref="AR32" si="118">SUM(AR27:AR31)</f>
        <v>0</v>
      </c>
      <c r="AS32" s="74">
        <f>SUM(AS27:AS31)</f>
        <v>0</v>
      </c>
      <c r="AT32" s="11"/>
    </row>
    <row r="33" spans="1:46" ht="15" customHeight="1" x14ac:dyDescent="0.25">
      <c r="A33" s="3" t="s">
        <v>154</v>
      </c>
      <c r="B33" s="3" t="s">
        <v>136</v>
      </c>
      <c r="C33" s="54" t="s">
        <v>32</v>
      </c>
      <c r="D33" s="3">
        <v>3</v>
      </c>
      <c r="E33" s="3" t="s">
        <v>33</v>
      </c>
      <c r="F33" s="3" t="s">
        <v>97</v>
      </c>
      <c r="G33" s="3" t="s">
        <v>34</v>
      </c>
      <c r="H33" s="3" t="s">
        <v>76</v>
      </c>
      <c r="I33" s="3" t="s">
        <v>98</v>
      </c>
      <c r="J33" s="3">
        <v>2294322</v>
      </c>
      <c r="K33" s="3" t="s">
        <v>99</v>
      </c>
      <c r="L33" s="3">
        <v>3122010235</v>
      </c>
      <c r="M33" s="13">
        <v>45897</v>
      </c>
      <c r="N33" s="3" t="s">
        <v>42</v>
      </c>
      <c r="O33" s="3" t="s">
        <v>36</v>
      </c>
      <c r="P33" s="72">
        <v>0</v>
      </c>
      <c r="Q33" s="72">
        <v>0</v>
      </c>
      <c r="R33" s="72">
        <v>0</v>
      </c>
      <c r="S33" s="72">
        <v>0</v>
      </c>
      <c r="T33" s="72">
        <v>0</v>
      </c>
      <c r="U33" s="72">
        <v>0</v>
      </c>
      <c r="V33" s="72">
        <v>0</v>
      </c>
      <c r="W33" s="72">
        <v>0</v>
      </c>
      <c r="X33" s="72">
        <v>0</v>
      </c>
      <c r="Y33" s="72">
        <v>0</v>
      </c>
      <c r="Z33" s="72">
        <v>0</v>
      </c>
      <c r="AA33" s="72">
        <v>0</v>
      </c>
      <c r="AB33" s="72">
        <v>0</v>
      </c>
      <c r="AC33" s="72">
        <v>0</v>
      </c>
      <c r="AD33" s="72">
        <v>0</v>
      </c>
      <c r="AE33" s="72">
        <v>0</v>
      </c>
      <c r="AF33" s="72">
        <v>0</v>
      </c>
      <c r="AG33" s="72">
        <v>0</v>
      </c>
      <c r="AH33" s="72">
        <v>0</v>
      </c>
      <c r="AI33" s="72">
        <v>0</v>
      </c>
      <c r="AJ33" s="72">
        <v>0</v>
      </c>
      <c r="AK33" s="72">
        <v>0</v>
      </c>
      <c r="AL33" s="72">
        <v>0</v>
      </c>
      <c r="AM33" s="72">
        <v>0</v>
      </c>
      <c r="AN33" s="72">
        <v>0</v>
      </c>
      <c r="AO33" s="72">
        <v>0</v>
      </c>
      <c r="AP33" s="72">
        <v>0</v>
      </c>
      <c r="AQ33" s="72">
        <v>0</v>
      </c>
      <c r="AR33" s="72">
        <v>0</v>
      </c>
      <c r="AS33" s="73">
        <f>SUMIF(P33:AR33,3.45)</f>
        <v>0</v>
      </c>
      <c r="AT33" s="3"/>
    </row>
    <row r="34" spans="1:46" ht="15" customHeight="1" x14ac:dyDescent="0.25">
      <c r="A34" s="3" t="s">
        <v>154</v>
      </c>
      <c r="B34" s="3" t="s">
        <v>136</v>
      </c>
      <c r="C34" s="54" t="s">
        <v>32</v>
      </c>
      <c r="D34" s="3">
        <v>3</v>
      </c>
      <c r="E34" s="3" t="s">
        <v>33</v>
      </c>
      <c r="F34" s="3" t="s">
        <v>100</v>
      </c>
      <c r="G34" s="3" t="s">
        <v>34</v>
      </c>
      <c r="H34" s="3" t="s">
        <v>76</v>
      </c>
      <c r="I34" s="3" t="s">
        <v>98</v>
      </c>
      <c r="J34" s="3">
        <v>2289441</v>
      </c>
      <c r="K34" s="3" t="s">
        <v>101</v>
      </c>
      <c r="L34" s="3">
        <v>3102103741</v>
      </c>
      <c r="M34" s="13">
        <v>45894</v>
      </c>
      <c r="N34" s="3" t="s">
        <v>37</v>
      </c>
      <c r="O34" s="3" t="s">
        <v>36</v>
      </c>
      <c r="P34" s="72">
        <v>0</v>
      </c>
      <c r="Q34" s="72">
        <v>0</v>
      </c>
      <c r="R34" s="72">
        <v>0</v>
      </c>
      <c r="S34" s="72">
        <v>0</v>
      </c>
      <c r="T34" s="72">
        <v>0</v>
      </c>
      <c r="U34" s="72">
        <v>0</v>
      </c>
      <c r="V34" s="72">
        <v>0</v>
      </c>
      <c r="W34" s="72">
        <v>0</v>
      </c>
      <c r="X34" s="72">
        <v>0</v>
      </c>
      <c r="Y34" s="72">
        <v>0</v>
      </c>
      <c r="Z34" s="72">
        <v>0</v>
      </c>
      <c r="AA34" s="72">
        <v>0</v>
      </c>
      <c r="AB34" s="72">
        <v>0</v>
      </c>
      <c r="AC34" s="72">
        <v>0</v>
      </c>
      <c r="AD34" s="72">
        <v>0</v>
      </c>
      <c r="AE34" s="72">
        <v>0</v>
      </c>
      <c r="AF34" s="72">
        <v>0</v>
      </c>
      <c r="AG34" s="72">
        <v>0</v>
      </c>
      <c r="AH34" s="72">
        <v>0</v>
      </c>
      <c r="AI34" s="72">
        <v>0</v>
      </c>
      <c r="AJ34" s="72">
        <v>0</v>
      </c>
      <c r="AK34" s="72">
        <v>0</v>
      </c>
      <c r="AL34" s="72">
        <v>0</v>
      </c>
      <c r="AM34" s="72">
        <v>0</v>
      </c>
      <c r="AN34" s="72">
        <v>0</v>
      </c>
      <c r="AO34" s="72">
        <v>0</v>
      </c>
      <c r="AP34" s="72">
        <v>0</v>
      </c>
      <c r="AQ34" s="72">
        <v>0</v>
      </c>
      <c r="AR34" s="72">
        <v>0</v>
      </c>
      <c r="AS34" s="73">
        <f t="shared" ref="AS34:AS37" si="119">SUMIF(P34:AR34,3.45)</f>
        <v>0</v>
      </c>
      <c r="AT34" s="3"/>
    </row>
    <row r="35" spans="1:46" ht="15" customHeight="1" x14ac:dyDescent="0.25">
      <c r="A35" s="3" t="s">
        <v>154</v>
      </c>
      <c r="B35" s="3" t="s">
        <v>136</v>
      </c>
      <c r="C35" s="54" t="s">
        <v>32</v>
      </c>
      <c r="D35" s="3">
        <v>3</v>
      </c>
      <c r="E35" s="3" t="s">
        <v>33</v>
      </c>
      <c r="F35" s="3" t="s">
        <v>102</v>
      </c>
      <c r="G35" s="3" t="s">
        <v>34</v>
      </c>
      <c r="H35" s="3" t="s">
        <v>76</v>
      </c>
      <c r="I35" s="3" t="s">
        <v>98</v>
      </c>
      <c r="J35" s="3">
        <v>1869928</v>
      </c>
      <c r="K35" s="3" t="s">
        <v>103</v>
      </c>
      <c r="L35" s="3">
        <v>3016666239</v>
      </c>
      <c r="M35" s="13">
        <v>45906</v>
      </c>
      <c r="N35" s="3" t="s">
        <v>35</v>
      </c>
      <c r="O35" s="3" t="s">
        <v>36</v>
      </c>
      <c r="P35" s="72">
        <v>0</v>
      </c>
      <c r="Q35" s="72">
        <v>0</v>
      </c>
      <c r="R35" s="72">
        <v>0</v>
      </c>
      <c r="S35" s="72">
        <v>0</v>
      </c>
      <c r="T35" s="72">
        <v>0</v>
      </c>
      <c r="U35" s="72">
        <v>0</v>
      </c>
      <c r="V35" s="72">
        <v>0</v>
      </c>
      <c r="W35" s="72">
        <v>0</v>
      </c>
      <c r="X35" s="72">
        <v>0</v>
      </c>
      <c r="Y35" s="72">
        <v>0</v>
      </c>
      <c r="Z35" s="72">
        <v>0</v>
      </c>
      <c r="AA35" s="72">
        <v>0</v>
      </c>
      <c r="AB35" s="72">
        <v>0</v>
      </c>
      <c r="AC35" s="72">
        <v>0</v>
      </c>
      <c r="AD35" s="72">
        <v>0</v>
      </c>
      <c r="AE35" s="72">
        <v>0</v>
      </c>
      <c r="AF35" s="72">
        <v>0</v>
      </c>
      <c r="AG35" s="72">
        <v>0</v>
      </c>
      <c r="AH35" s="72">
        <v>0</v>
      </c>
      <c r="AI35" s="72">
        <v>0</v>
      </c>
      <c r="AJ35" s="72">
        <v>0</v>
      </c>
      <c r="AK35" s="72">
        <v>0</v>
      </c>
      <c r="AL35" s="72">
        <v>0</v>
      </c>
      <c r="AM35" s="72">
        <v>0</v>
      </c>
      <c r="AN35" s="72">
        <v>0</v>
      </c>
      <c r="AO35" s="72">
        <v>0</v>
      </c>
      <c r="AP35" s="72">
        <v>0</v>
      </c>
      <c r="AQ35" s="72">
        <v>0</v>
      </c>
      <c r="AR35" s="72">
        <v>0</v>
      </c>
      <c r="AS35" s="73">
        <f t="shared" si="119"/>
        <v>0</v>
      </c>
      <c r="AT35" s="3"/>
    </row>
    <row r="36" spans="1:46" ht="15" customHeight="1" x14ac:dyDescent="0.25">
      <c r="A36" s="3" t="s">
        <v>154</v>
      </c>
      <c r="B36" s="3" t="s">
        <v>136</v>
      </c>
      <c r="C36" s="54" t="s">
        <v>32</v>
      </c>
      <c r="D36" s="3">
        <v>3</v>
      </c>
      <c r="E36" s="3" t="s">
        <v>33</v>
      </c>
      <c r="F36" s="3" t="s">
        <v>104</v>
      </c>
      <c r="G36" s="3" t="s">
        <v>34</v>
      </c>
      <c r="H36" s="3" t="s">
        <v>76</v>
      </c>
      <c r="I36" s="3" t="s">
        <v>98</v>
      </c>
      <c r="J36" s="3">
        <v>2160759</v>
      </c>
      <c r="K36" s="3" t="s">
        <v>105</v>
      </c>
      <c r="L36" s="3">
        <v>3202279425</v>
      </c>
      <c r="M36" s="13">
        <v>45895</v>
      </c>
      <c r="N36" s="3" t="s">
        <v>40</v>
      </c>
      <c r="O36" s="3" t="s">
        <v>36</v>
      </c>
      <c r="P36" s="72">
        <v>0</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72">
        <v>0</v>
      </c>
      <c r="AJ36" s="72">
        <v>0</v>
      </c>
      <c r="AK36" s="72">
        <v>0</v>
      </c>
      <c r="AL36" s="72">
        <v>0</v>
      </c>
      <c r="AM36" s="72">
        <v>0</v>
      </c>
      <c r="AN36" s="72">
        <v>0</v>
      </c>
      <c r="AO36" s="72">
        <v>0</v>
      </c>
      <c r="AP36" s="72">
        <v>0</v>
      </c>
      <c r="AQ36" s="72">
        <v>0</v>
      </c>
      <c r="AR36" s="72">
        <v>0</v>
      </c>
      <c r="AS36" s="73">
        <f t="shared" si="119"/>
        <v>0</v>
      </c>
      <c r="AT36" s="3"/>
    </row>
    <row r="37" spans="1:46" ht="15" customHeight="1" x14ac:dyDescent="0.25">
      <c r="A37" s="3" t="s">
        <v>154</v>
      </c>
      <c r="B37" s="3" t="s">
        <v>136</v>
      </c>
      <c r="C37" s="54" t="s">
        <v>32</v>
      </c>
      <c r="D37" s="3">
        <v>3</v>
      </c>
      <c r="E37" s="3" t="s">
        <v>33</v>
      </c>
      <c r="F37" s="3" t="s">
        <v>106</v>
      </c>
      <c r="G37" s="3" t="s">
        <v>34</v>
      </c>
      <c r="H37" s="3" t="s">
        <v>76</v>
      </c>
      <c r="I37" s="3" t="s">
        <v>98</v>
      </c>
      <c r="J37" s="3">
        <v>2052224</v>
      </c>
      <c r="K37" s="3" t="s">
        <v>107</v>
      </c>
      <c r="L37" s="3">
        <v>3102103741</v>
      </c>
      <c r="M37" s="13">
        <v>45897</v>
      </c>
      <c r="N37" s="3" t="s">
        <v>91</v>
      </c>
      <c r="O37" s="3" t="s">
        <v>36</v>
      </c>
      <c r="P37" s="72">
        <v>0</v>
      </c>
      <c r="Q37" s="72">
        <v>0</v>
      </c>
      <c r="R37" s="72">
        <v>0</v>
      </c>
      <c r="S37" s="72">
        <v>0</v>
      </c>
      <c r="T37" s="72">
        <v>0</v>
      </c>
      <c r="U37" s="72">
        <v>0</v>
      </c>
      <c r="V37" s="72">
        <v>0</v>
      </c>
      <c r="W37" s="72">
        <v>0</v>
      </c>
      <c r="X37" s="72">
        <v>0</v>
      </c>
      <c r="Y37" s="72">
        <v>0</v>
      </c>
      <c r="Z37" s="72">
        <v>0</v>
      </c>
      <c r="AA37" s="72">
        <v>0</v>
      </c>
      <c r="AB37" s="72">
        <v>0</v>
      </c>
      <c r="AC37" s="72">
        <v>0</v>
      </c>
      <c r="AD37" s="72">
        <v>0</v>
      </c>
      <c r="AE37" s="72">
        <v>0</v>
      </c>
      <c r="AF37" s="72">
        <v>0</v>
      </c>
      <c r="AG37" s="72">
        <v>0</v>
      </c>
      <c r="AH37" s="72">
        <v>0</v>
      </c>
      <c r="AI37" s="72">
        <v>0</v>
      </c>
      <c r="AJ37" s="72">
        <v>0</v>
      </c>
      <c r="AK37" s="72">
        <v>0</v>
      </c>
      <c r="AL37" s="72">
        <v>0</v>
      </c>
      <c r="AM37" s="72">
        <v>0</v>
      </c>
      <c r="AN37" s="72">
        <v>0</v>
      </c>
      <c r="AO37" s="72">
        <v>0</v>
      </c>
      <c r="AP37" s="72">
        <v>0</v>
      </c>
      <c r="AQ37" s="72">
        <v>0</v>
      </c>
      <c r="AR37" s="72">
        <v>0</v>
      </c>
      <c r="AS37" s="73">
        <f t="shared" si="119"/>
        <v>0</v>
      </c>
      <c r="AT37" s="3"/>
    </row>
    <row r="38" spans="1:46" x14ac:dyDescent="0.25">
      <c r="A38" s="11" t="s">
        <v>154</v>
      </c>
      <c r="B38" s="11" t="s">
        <v>136</v>
      </c>
      <c r="C38" s="66" t="s">
        <v>132</v>
      </c>
      <c r="D38" s="67"/>
      <c r="E38" s="67"/>
      <c r="F38" s="67"/>
      <c r="G38" s="67"/>
      <c r="H38" s="67"/>
      <c r="I38" s="67"/>
      <c r="J38" s="11"/>
      <c r="K38" s="11"/>
      <c r="L38" s="11"/>
      <c r="M38" s="12"/>
      <c r="N38" s="11"/>
      <c r="O38" s="11" t="s">
        <v>156</v>
      </c>
      <c r="P38" s="74">
        <f>SUM(P33:P37)</f>
        <v>0</v>
      </c>
      <c r="Q38" s="74">
        <f t="shared" ref="Q38" si="120">SUM(Q33:Q37)</f>
        <v>0</v>
      </c>
      <c r="R38" s="74">
        <f t="shared" ref="R38" si="121">SUM(R33:R37)</f>
        <v>0</v>
      </c>
      <c r="S38" s="74">
        <f t="shared" ref="S38" si="122">SUM(S33:S37)</f>
        <v>0</v>
      </c>
      <c r="T38" s="74">
        <f t="shared" ref="T38" si="123">SUM(T33:T37)</f>
        <v>0</v>
      </c>
      <c r="U38" s="74">
        <f t="shared" ref="U38" si="124">SUM(U33:U37)</f>
        <v>0</v>
      </c>
      <c r="V38" s="74">
        <f t="shared" ref="V38" si="125">SUM(V33:V37)</f>
        <v>0</v>
      </c>
      <c r="W38" s="74">
        <f t="shared" ref="W38" si="126">SUM(W33:W37)</f>
        <v>0</v>
      </c>
      <c r="X38" s="74">
        <f t="shared" ref="X38" si="127">SUM(X33:X37)</f>
        <v>0</v>
      </c>
      <c r="Y38" s="74">
        <f t="shared" ref="Y38" si="128">SUM(Y33:Y37)</f>
        <v>0</v>
      </c>
      <c r="Z38" s="74">
        <f t="shared" ref="Z38" si="129">SUM(Z33:Z37)</f>
        <v>0</v>
      </c>
      <c r="AA38" s="74">
        <f t="shared" ref="AA38" si="130">SUM(AA33:AA37)</f>
        <v>0</v>
      </c>
      <c r="AB38" s="74">
        <f t="shared" ref="AB38" si="131">SUM(AB33:AB37)</f>
        <v>0</v>
      </c>
      <c r="AC38" s="74">
        <f t="shared" ref="AC38" si="132">SUM(AC33:AC37)</f>
        <v>0</v>
      </c>
      <c r="AD38" s="74">
        <f t="shared" ref="AD38" si="133">SUM(AD33:AD37)</f>
        <v>0</v>
      </c>
      <c r="AE38" s="74">
        <f t="shared" ref="AE38" si="134">SUM(AE33:AE37)</f>
        <v>0</v>
      </c>
      <c r="AF38" s="74">
        <f t="shared" ref="AF38" si="135">SUM(AF33:AF37)</f>
        <v>0</v>
      </c>
      <c r="AG38" s="74">
        <f t="shared" ref="AG38" si="136">SUM(AG33:AG37)</f>
        <v>0</v>
      </c>
      <c r="AH38" s="74">
        <f t="shared" ref="AH38" si="137">SUM(AH33:AH37)</f>
        <v>0</v>
      </c>
      <c r="AI38" s="74">
        <f t="shared" ref="AI38" si="138">SUM(AI33:AI37)</f>
        <v>0</v>
      </c>
      <c r="AJ38" s="74">
        <f t="shared" ref="AJ38" si="139">SUM(AJ33:AJ37)</f>
        <v>0</v>
      </c>
      <c r="AK38" s="74">
        <f t="shared" ref="AK38" si="140">SUM(AK33:AK37)</f>
        <v>0</v>
      </c>
      <c r="AL38" s="74">
        <f t="shared" ref="AL38" si="141">SUM(AL33:AL37)</f>
        <v>0</v>
      </c>
      <c r="AM38" s="74">
        <f t="shared" ref="AM38" si="142">SUM(AM33:AM37)</f>
        <v>0</v>
      </c>
      <c r="AN38" s="74">
        <f t="shared" ref="AN38" si="143">SUM(AN33:AN37)</f>
        <v>0</v>
      </c>
      <c r="AO38" s="74">
        <f t="shared" ref="AO38" si="144">SUM(AO33:AO37)</f>
        <v>0</v>
      </c>
      <c r="AP38" s="74">
        <f t="shared" ref="AP38" si="145">SUM(AP33:AP37)</f>
        <v>0</v>
      </c>
      <c r="AQ38" s="74">
        <f t="shared" ref="AQ38" si="146">SUM(AQ33:AQ37)</f>
        <v>0</v>
      </c>
      <c r="AR38" s="74">
        <f t="shared" ref="AR38" si="147">SUM(AR33:AR37)</f>
        <v>0</v>
      </c>
      <c r="AS38" s="74">
        <f>SUM(AS33:AS37)</f>
        <v>0</v>
      </c>
      <c r="AT38" s="11"/>
    </row>
    <row r="39" spans="1:46" ht="15" customHeight="1" x14ac:dyDescent="0.25">
      <c r="A39" s="55" t="s">
        <v>154</v>
      </c>
      <c r="B39" s="55" t="s">
        <v>136</v>
      </c>
      <c r="C39" s="40"/>
      <c r="D39" s="40"/>
      <c r="E39" s="40"/>
      <c r="F39" s="40"/>
      <c r="G39" s="40"/>
      <c r="H39" s="40"/>
      <c r="I39" s="40"/>
      <c r="J39" s="40"/>
      <c r="K39" s="40"/>
      <c r="L39" s="40"/>
      <c r="M39" s="40"/>
      <c r="N39" s="40"/>
      <c r="O39" s="9" t="s">
        <v>46</v>
      </c>
      <c r="P39" s="75">
        <f t="shared" ref="P39:AS39" si="148">SUM(P26,P32,P38)</f>
        <v>0</v>
      </c>
      <c r="Q39" s="75">
        <f t="shared" si="148"/>
        <v>0</v>
      </c>
      <c r="R39" s="75">
        <f t="shared" si="148"/>
        <v>0</v>
      </c>
      <c r="S39" s="75">
        <f t="shared" si="148"/>
        <v>0</v>
      </c>
      <c r="T39" s="75">
        <f t="shared" si="148"/>
        <v>0</v>
      </c>
      <c r="U39" s="75">
        <f t="shared" si="148"/>
        <v>0</v>
      </c>
      <c r="V39" s="75">
        <f t="shared" si="148"/>
        <v>0</v>
      </c>
      <c r="W39" s="75">
        <f t="shared" si="148"/>
        <v>0</v>
      </c>
      <c r="X39" s="75">
        <f t="shared" si="148"/>
        <v>0</v>
      </c>
      <c r="Y39" s="75">
        <f t="shared" si="148"/>
        <v>0</v>
      </c>
      <c r="Z39" s="75">
        <f t="shared" si="148"/>
        <v>0</v>
      </c>
      <c r="AA39" s="75">
        <f t="shared" si="148"/>
        <v>0</v>
      </c>
      <c r="AB39" s="75">
        <f t="shared" si="148"/>
        <v>0</v>
      </c>
      <c r="AC39" s="75">
        <f t="shared" si="148"/>
        <v>0</v>
      </c>
      <c r="AD39" s="75">
        <f t="shared" si="148"/>
        <v>0</v>
      </c>
      <c r="AE39" s="75">
        <f t="shared" si="148"/>
        <v>0</v>
      </c>
      <c r="AF39" s="75">
        <f t="shared" si="148"/>
        <v>0</v>
      </c>
      <c r="AG39" s="75">
        <f t="shared" si="148"/>
        <v>0</v>
      </c>
      <c r="AH39" s="75">
        <f t="shared" si="148"/>
        <v>0</v>
      </c>
      <c r="AI39" s="75">
        <f t="shared" si="148"/>
        <v>0</v>
      </c>
      <c r="AJ39" s="75">
        <f t="shared" si="148"/>
        <v>0</v>
      </c>
      <c r="AK39" s="75">
        <f t="shared" si="148"/>
        <v>0</v>
      </c>
      <c r="AL39" s="75">
        <f t="shared" si="148"/>
        <v>0</v>
      </c>
      <c r="AM39" s="75">
        <f t="shared" si="148"/>
        <v>0</v>
      </c>
      <c r="AN39" s="75">
        <f t="shared" si="148"/>
        <v>0</v>
      </c>
      <c r="AO39" s="75">
        <f t="shared" si="148"/>
        <v>0</v>
      </c>
      <c r="AP39" s="75">
        <f t="shared" si="148"/>
        <v>0</v>
      </c>
      <c r="AQ39" s="75">
        <f t="shared" si="148"/>
        <v>0</v>
      </c>
      <c r="AR39" s="75">
        <f t="shared" si="148"/>
        <v>0</v>
      </c>
      <c r="AS39" s="75">
        <f t="shared" si="148"/>
        <v>0</v>
      </c>
      <c r="AT39" s="56"/>
    </row>
    <row r="40" spans="1:46" ht="15" customHeight="1" x14ac:dyDescent="0.25">
      <c r="A40" s="3" t="s">
        <v>154</v>
      </c>
      <c r="B40" s="3" t="s">
        <v>137</v>
      </c>
      <c r="C40" s="54" t="s">
        <v>32</v>
      </c>
      <c r="D40" s="3">
        <v>3</v>
      </c>
      <c r="E40" s="3" t="s">
        <v>33</v>
      </c>
      <c r="F40" s="34" t="s">
        <v>75</v>
      </c>
      <c r="G40" s="3" t="s">
        <v>34</v>
      </c>
      <c r="H40" s="3" t="s">
        <v>76</v>
      </c>
      <c r="I40" s="3" t="s">
        <v>77</v>
      </c>
      <c r="J40" s="3">
        <v>2036644</v>
      </c>
      <c r="K40" s="3" t="s">
        <v>78</v>
      </c>
      <c r="L40" s="3">
        <v>3188120410</v>
      </c>
      <c r="M40" s="13">
        <v>45903</v>
      </c>
      <c r="N40" s="3" t="s">
        <v>40</v>
      </c>
      <c r="O40" s="3" t="s">
        <v>36</v>
      </c>
      <c r="P40" s="72">
        <v>0</v>
      </c>
      <c r="Q40" s="72">
        <v>0</v>
      </c>
      <c r="R40" s="72">
        <v>0</v>
      </c>
      <c r="S40" s="72">
        <v>0</v>
      </c>
      <c r="T40" s="72">
        <v>0</v>
      </c>
      <c r="U40" s="72">
        <v>0</v>
      </c>
      <c r="V40" s="72">
        <v>0</v>
      </c>
      <c r="W40" s="72">
        <v>0</v>
      </c>
      <c r="X40" s="72">
        <v>0</v>
      </c>
      <c r="Y40" s="72">
        <v>0</v>
      </c>
      <c r="Z40" s="72">
        <v>0</v>
      </c>
      <c r="AA40" s="72">
        <v>0</v>
      </c>
      <c r="AB40" s="72">
        <v>0</v>
      </c>
      <c r="AC40" s="72">
        <v>0</v>
      </c>
      <c r="AD40" s="72">
        <v>0</v>
      </c>
      <c r="AE40" s="72">
        <v>0</v>
      </c>
      <c r="AF40" s="72">
        <v>0</v>
      </c>
      <c r="AG40" s="72">
        <v>0</v>
      </c>
      <c r="AH40" s="72">
        <v>0</v>
      </c>
      <c r="AI40" s="72">
        <v>0</v>
      </c>
      <c r="AJ40" s="72">
        <v>0</v>
      </c>
      <c r="AK40" s="72">
        <v>0</v>
      </c>
      <c r="AL40" s="72">
        <v>0</v>
      </c>
      <c r="AM40" s="72">
        <v>0</v>
      </c>
      <c r="AN40" s="72">
        <v>0</v>
      </c>
      <c r="AO40" s="72">
        <v>0</v>
      </c>
      <c r="AP40" s="72">
        <v>0</v>
      </c>
      <c r="AQ40" s="72">
        <v>0</v>
      </c>
      <c r="AR40" s="72">
        <v>0</v>
      </c>
      <c r="AS40" s="73">
        <f>SUMIF(P40:AR40,3.45)</f>
        <v>0</v>
      </c>
      <c r="AT40" s="3"/>
    </row>
    <row r="41" spans="1:46" ht="15" customHeight="1" x14ac:dyDescent="0.25">
      <c r="A41" s="3" t="s">
        <v>154</v>
      </c>
      <c r="B41" s="3" t="s">
        <v>137</v>
      </c>
      <c r="C41" s="54" t="s">
        <v>32</v>
      </c>
      <c r="D41" s="3">
        <v>3</v>
      </c>
      <c r="E41" s="3" t="s">
        <v>33</v>
      </c>
      <c r="F41" s="3" t="s">
        <v>79</v>
      </c>
      <c r="G41" s="3" t="s">
        <v>34</v>
      </c>
      <c r="H41" s="3" t="s">
        <v>76</v>
      </c>
      <c r="I41" s="3" t="s">
        <v>77</v>
      </c>
      <c r="J41" s="3">
        <v>2012501</v>
      </c>
      <c r="K41" s="3" t="s">
        <v>80</v>
      </c>
      <c r="L41" s="3">
        <v>3124250477</v>
      </c>
      <c r="M41" s="13">
        <v>45895</v>
      </c>
      <c r="N41" s="3" t="s">
        <v>39</v>
      </c>
      <c r="O41" s="3" t="s">
        <v>36</v>
      </c>
      <c r="P41" s="72">
        <v>0</v>
      </c>
      <c r="Q41" s="72">
        <v>0</v>
      </c>
      <c r="R41" s="72">
        <v>0</v>
      </c>
      <c r="S41" s="72">
        <v>0</v>
      </c>
      <c r="T41" s="72">
        <v>0</v>
      </c>
      <c r="U41" s="72">
        <v>0</v>
      </c>
      <c r="V41" s="72">
        <v>0</v>
      </c>
      <c r="W41" s="72">
        <v>0</v>
      </c>
      <c r="X41" s="72">
        <v>0</v>
      </c>
      <c r="Y41" s="72">
        <v>0</v>
      </c>
      <c r="Z41" s="72">
        <v>0</v>
      </c>
      <c r="AA41" s="72">
        <v>0</v>
      </c>
      <c r="AB41" s="72">
        <v>0</v>
      </c>
      <c r="AC41" s="72">
        <v>0</v>
      </c>
      <c r="AD41" s="72">
        <v>0</v>
      </c>
      <c r="AE41" s="72">
        <v>0</v>
      </c>
      <c r="AF41" s="72">
        <v>0</v>
      </c>
      <c r="AG41" s="72">
        <v>0</v>
      </c>
      <c r="AH41" s="72">
        <v>0</v>
      </c>
      <c r="AI41" s="72">
        <v>0</v>
      </c>
      <c r="AJ41" s="72">
        <v>0</v>
      </c>
      <c r="AK41" s="72">
        <v>0</v>
      </c>
      <c r="AL41" s="72">
        <v>0</v>
      </c>
      <c r="AM41" s="72">
        <v>0</v>
      </c>
      <c r="AN41" s="72">
        <v>0</v>
      </c>
      <c r="AO41" s="72">
        <v>0</v>
      </c>
      <c r="AP41" s="72">
        <v>0</v>
      </c>
      <c r="AQ41" s="72">
        <v>0</v>
      </c>
      <c r="AR41" s="72">
        <v>0</v>
      </c>
      <c r="AS41" s="73">
        <f t="shared" ref="AS41:AS44" si="149">SUMIF(P41:AR41,3.45)</f>
        <v>0</v>
      </c>
      <c r="AT41" s="3"/>
    </row>
    <row r="42" spans="1:46" ht="15" customHeight="1" x14ac:dyDescent="0.25">
      <c r="A42" s="3" t="s">
        <v>154</v>
      </c>
      <c r="B42" s="3" t="s">
        <v>137</v>
      </c>
      <c r="C42" s="54" t="s">
        <v>32</v>
      </c>
      <c r="D42" s="3">
        <v>3</v>
      </c>
      <c r="E42" s="3" t="s">
        <v>33</v>
      </c>
      <c r="F42" s="3" t="s">
        <v>81</v>
      </c>
      <c r="G42" s="3" t="s">
        <v>34</v>
      </c>
      <c r="H42" s="3" t="s">
        <v>76</v>
      </c>
      <c r="I42" s="3" t="s">
        <v>77</v>
      </c>
      <c r="J42" s="3">
        <v>1980561</v>
      </c>
      <c r="K42" s="3" t="s">
        <v>82</v>
      </c>
      <c r="L42" s="3">
        <v>3136765995</v>
      </c>
      <c r="M42" s="13">
        <v>45895</v>
      </c>
      <c r="N42" s="3" t="s">
        <v>41</v>
      </c>
      <c r="O42" s="3" t="s">
        <v>36</v>
      </c>
      <c r="P42" s="72">
        <v>0</v>
      </c>
      <c r="Q42" s="72">
        <v>0</v>
      </c>
      <c r="R42" s="72">
        <v>0</v>
      </c>
      <c r="S42" s="72">
        <v>0</v>
      </c>
      <c r="T42" s="72">
        <v>0</v>
      </c>
      <c r="U42" s="72">
        <v>0</v>
      </c>
      <c r="V42" s="72">
        <v>0</v>
      </c>
      <c r="W42" s="72">
        <v>0</v>
      </c>
      <c r="X42" s="72">
        <v>0</v>
      </c>
      <c r="Y42" s="72">
        <v>0</v>
      </c>
      <c r="Z42" s="72">
        <v>0</v>
      </c>
      <c r="AA42" s="72">
        <v>0</v>
      </c>
      <c r="AB42" s="72">
        <v>0</v>
      </c>
      <c r="AC42" s="72">
        <v>0</v>
      </c>
      <c r="AD42" s="72">
        <v>0</v>
      </c>
      <c r="AE42" s="72">
        <v>0</v>
      </c>
      <c r="AF42" s="72">
        <v>0</v>
      </c>
      <c r="AG42" s="72">
        <v>0</v>
      </c>
      <c r="AH42" s="72">
        <v>0</v>
      </c>
      <c r="AI42" s="72">
        <v>0</v>
      </c>
      <c r="AJ42" s="72">
        <v>0</v>
      </c>
      <c r="AK42" s="72">
        <v>0</v>
      </c>
      <c r="AL42" s="72">
        <v>0</v>
      </c>
      <c r="AM42" s="72">
        <v>0</v>
      </c>
      <c r="AN42" s="72">
        <v>0</v>
      </c>
      <c r="AO42" s="72">
        <v>0</v>
      </c>
      <c r="AP42" s="72">
        <v>0</v>
      </c>
      <c r="AQ42" s="72">
        <v>0</v>
      </c>
      <c r="AR42" s="72">
        <v>0</v>
      </c>
      <c r="AS42" s="73">
        <f t="shared" si="149"/>
        <v>0</v>
      </c>
      <c r="AT42" s="3"/>
    </row>
    <row r="43" spans="1:46" ht="15" customHeight="1" x14ac:dyDescent="0.25">
      <c r="A43" s="3" t="s">
        <v>154</v>
      </c>
      <c r="B43" s="3" t="s">
        <v>137</v>
      </c>
      <c r="C43" s="54" t="s">
        <v>32</v>
      </c>
      <c r="D43" s="3">
        <v>3</v>
      </c>
      <c r="E43" s="3" t="s">
        <v>33</v>
      </c>
      <c r="F43" s="3" t="s">
        <v>83</v>
      </c>
      <c r="G43" s="3" t="s">
        <v>34</v>
      </c>
      <c r="H43" s="3" t="s">
        <v>76</v>
      </c>
      <c r="I43" s="3" t="s">
        <v>77</v>
      </c>
      <c r="J43" s="3">
        <v>1912585</v>
      </c>
      <c r="K43" s="3"/>
      <c r="L43" s="3">
        <v>3136730889</v>
      </c>
      <c r="M43" s="13">
        <v>45894</v>
      </c>
      <c r="N43" s="3" t="s">
        <v>37</v>
      </c>
      <c r="O43" s="3" t="s">
        <v>36</v>
      </c>
      <c r="P43" s="72">
        <v>0</v>
      </c>
      <c r="Q43" s="72">
        <v>0</v>
      </c>
      <c r="R43" s="72">
        <v>0</v>
      </c>
      <c r="S43" s="72">
        <v>0</v>
      </c>
      <c r="T43" s="72">
        <v>0</v>
      </c>
      <c r="U43" s="72">
        <v>0</v>
      </c>
      <c r="V43" s="72">
        <v>0</v>
      </c>
      <c r="W43" s="72">
        <v>0</v>
      </c>
      <c r="X43" s="72">
        <v>0</v>
      </c>
      <c r="Y43" s="72">
        <v>0</v>
      </c>
      <c r="Z43" s="72">
        <v>0</v>
      </c>
      <c r="AA43" s="72">
        <v>0</v>
      </c>
      <c r="AB43" s="72">
        <v>0</v>
      </c>
      <c r="AC43" s="72">
        <v>0</v>
      </c>
      <c r="AD43" s="72">
        <v>0</v>
      </c>
      <c r="AE43" s="72">
        <v>0</v>
      </c>
      <c r="AF43" s="72">
        <v>0</v>
      </c>
      <c r="AG43" s="72">
        <v>0</v>
      </c>
      <c r="AH43" s="72">
        <v>0</v>
      </c>
      <c r="AI43" s="72">
        <v>0</v>
      </c>
      <c r="AJ43" s="72">
        <v>0</v>
      </c>
      <c r="AK43" s="72">
        <v>0</v>
      </c>
      <c r="AL43" s="72">
        <v>0</v>
      </c>
      <c r="AM43" s="72">
        <v>0</v>
      </c>
      <c r="AN43" s="72">
        <v>0</v>
      </c>
      <c r="AO43" s="72">
        <v>0</v>
      </c>
      <c r="AP43" s="72">
        <v>0</v>
      </c>
      <c r="AQ43" s="72">
        <v>0</v>
      </c>
      <c r="AR43" s="72">
        <v>0</v>
      </c>
      <c r="AS43" s="73">
        <f t="shared" si="149"/>
        <v>0</v>
      </c>
      <c r="AT43" s="3"/>
    </row>
    <row r="44" spans="1:46" ht="15" customHeight="1" x14ac:dyDescent="0.25">
      <c r="A44" s="3" t="s">
        <v>154</v>
      </c>
      <c r="B44" s="3" t="s">
        <v>137</v>
      </c>
      <c r="C44" s="54" t="s">
        <v>32</v>
      </c>
      <c r="D44" s="3">
        <v>3</v>
      </c>
      <c r="E44" s="3" t="s">
        <v>33</v>
      </c>
      <c r="F44" s="3" t="s">
        <v>84</v>
      </c>
      <c r="G44" s="3" t="s">
        <v>34</v>
      </c>
      <c r="H44" s="3" t="s">
        <v>76</v>
      </c>
      <c r="I44" s="3" t="s">
        <v>77</v>
      </c>
      <c r="J44" s="3">
        <v>1862296</v>
      </c>
      <c r="K44" s="3" t="s">
        <v>85</v>
      </c>
      <c r="L44" s="3">
        <v>3195715429</v>
      </c>
      <c r="M44" s="13">
        <v>45898</v>
      </c>
      <c r="N44" s="3" t="s">
        <v>38</v>
      </c>
      <c r="O44" s="3" t="s">
        <v>36</v>
      </c>
      <c r="P44" s="72">
        <v>0</v>
      </c>
      <c r="Q44" s="72">
        <v>0</v>
      </c>
      <c r="R44" s="72">
        <v>0</v>
      </c>
      <c r="S44" s="72">
        <v>0</v>
      </c>
      <c r="T44" s="72">
        <v>0</v>
      </c>
      <c r="U44" s="72">
        <v>0</v>
      </c>
      <c r="V44" s="72">
        <v>0</v>
      </c>
      <c r="W44" s="72">
        <v>0</v>
      </c>
      <c r="X44" s="72">
        <v>0</v>
      </c>
      <c r="Y44" s="72">
        <v>0</v>
      </c>
      <c r="Z44" s="72">
        <v>0</v>
      </c>
      <c r="AA44" s="72">
        <v>0</v>
      </c>
      <c r="AB44" s="72">
        <v>0</v>
      </c>
      <c r="AC44" s="72">
        <v>0</v>
      </c>
      <c r="AD44" s="72">
        <v>0</v>
      </c>
      <c r="AE44" s="72">
        <v>0</v>
      </c>
      <c r="AF44" s="72">
        <v>0</v>
      </c>
      <c r="AG44" s="72">
        <v>0</v>
      </c>
      <c r="AH44" s="72">
        <v>0</v>
      </c>
      <c r="AI44" s="72">
        <v>0</v>
      </c>
      <c r="AJ44" s="72">
        <v>0</v>
      </c>
      <c r="AK44" s="72">
        <v>0</v>
      </c>
      <c r="AL44" s="72">
        <v>0</v>
      </c>
      <c r="AM44" s="72">
        <v>0</v>
      </c>
      <c r="AN44" s="72">
        <v>0</v>
      </c>
      <c r="AO44" s="72">
        <v>0</v>
      </c>
      <c r="AP44" s="72">
        <v>0</v>
      </c>
      <c r="AQ44" s="72">
        <v>0</v>
      </c>
      <c r="AR44" s="72">
        <v>0</v>
      </c>
      <c r="AS44" s="73">
        <f t="shared" si="149"/>
        <v>0</v>
      </c>
      <c r="AT44" s="3"/>
    </row>
    <row r="45" spans="1:46" ht="15" customHeight="1" x14ac:dyDescent="0.25">
      <c r="A45" s="11" t="s">
        <v>154</v>
      </c>
      <c r="B45" s="11" t="s">
        <v>137</v>
      </c>
      <c r="C45" s="66" t="s">
        <v>130</v>
      </c>
      <c r="D45" s="67"/>
      <c r="E45" s="67"/>
      <c r="F45" s="67"/>
      <c r="G45" s="67"/>
      <c r="H45" s="67"/>
      <c r="I45" s="67"/>
      <c r="J45" s="11"/>
      <c r="K45" s="11"/>
      <c r="L45" s="11"/>
      <c r="M45" s="12"/>
      <c r="N45" s="11"/>
      <c r="O45" s="11" t="s">
        <v>156</v>
      </c>
      <c r="P45" s="74">
        <f>SUM(P40:P44)</f>
        <v>0</v>
      </c>
      <c r="Q45" s="74">
        <f t="shared" ref="Q45" si="150">SUM(Q40:Q44)</f>
        <v>0</v>
      </c>
      <c r="R45" s="74">
        <f t="shared" ref="R45" si="151">SUM(R40:R44)</f>
        <v>0</v>
      </c>
      <c r="S45" s="74">
        <f t="shared" ref="S45" si="152">SUM(S40:S44)</f>
        <v>0</v>
      </c>
      <c r="T45" s="74">
        <f t="shared" ref="T45" si="153">SUM(T40:T44)</f>
        <v>0</v>
      </c>
      <c r="U45" s="74">
        <f t="shared" ref="U45" si="154">SUM(U40:U44)</f>
        <v>0</v>
      </c>
      <c r="V45" s="74">
        <f t="shared" ref="V45" si="155">SUM(V40:V44)</f>
        <v>0</v>
      </c>
      <c r="W45" s="74">
        <f t="shared" ref="W45" si="156">SUM(W40:W44)</f>
        <v>0</v>
      </c>
      <c r="X45" s="74">
        <f t="shared" ref="X45" si="157">SUM(X40:X44)</f>
        <v>0</v>
      </c>
      <c r="Y45" s="74">
        <f t="shared" ref="Y45" si="158">SUM(Y40:Y44)</f>
        <v>0</v>
      </c>
      <c r="Z45" s="74">
        <f t="shared" ref="Z45" si="159">SUM(Z40:Z44)</f>
        <v>0</v>
      </c>
      <c r="AA45" s="74">
        <f t="shared" ref="AA45" si="160">SUM(AA40:AA44)</f>
        <v>0</v>
      </c>
      <c r="AB45" s="74">
        <f t="shared" ref="AB45" si="161">SUM(AB40:AB44)</f>
        <v>0</v>
      </c>
      <c r="AC45" s="74">
        <f t="shared" ref="AC45" si="162">SUM(AC40:AC44)</f>
        <v>0</v>
      </c>
      <c r="AD45" s="74">
        <f t="shared" ref="AD45" si="163">SUM(AD40:AD44)</f>
        <v>0</v>
      </c>
      <c r="AE45" s="74">
        <f t="shared" ref="AE45" si="164">SUM(AE40:AE44)</f>
        <v>0</v>
      </c>
      <c r="AF45" s="74">
        <f t="shared" ref="AF45" si="165">SUM(AF40:AF44)</f>
        <v>0</v>
      </c>
      <c r="AG45" s="74">
        <f t="shared" ref="AG45" si="166">SUM(AG40:AG44)</f>
        <v>0</v>
      </c>
      <c r="AH45" s="74">
        <f t="shared" ref="AH45" si="167">SUM(AH40:AH44)</f>
        <v>0</v>
      </c>
      <c r="AI45" s="74">
        <f t="shared" ref="AI45" si="168">SUM(AI40:AI44)</f>
        <v>0</v>
      </c>
      <c r="AJ45" s="74">
        <f t="shared" ref="AJ45" si="169">SUM(AJ40:AJ44)</f>
        <v>0</v>
      </c>
      <c r="AK45" s="74">
        <f t="shared" ref="AK45" si="170">SUM(AK40:AK44)</f>
        <v>0</v>
      </c>
      <c r="AL45" s="74">
        <f t="shared" ref="AL45" si="171">SUM(AL40:AL44)</f>
        <v>0</v>
      </c>
      <c r="AM45" s="74">
        <f t="shared" ref="AM45" si="172">SUM(AM40:AM44)</f>
        <v>0</v>
      </c>
      <c r="AN45" s="74">
        <f t="shared" ref="AN45" si="173">SUM(AN40:AN44)</f>
        <v>0</v>
      </c>
      <c r="AO45" s="74">
        <f t="shared" ref="AO45" si="174">SUM(AO40:AO44)</f>
        <v>0</v>
      </c>
      <c r="AP45" s="74">
        <f t="shared" ref="AP45" si="175">SUM(AP40:AP44)</f>
        <v>0</v>
      </c>
      <c r="AQ45" s="74">
        <f t="shared" ref="AQ45" si="176">SUM(AQ40:AQ44)</f>
        <v>0</v>
      </c>
      <c r="AR45" s="74">
        <f t="shared" ref="AR45" si="177">SUM(AR40:AR44)</f>
        <v>0</v>
      </c>
      <c r="AS45" s="74">
        <f>SUM(AS40:AS44)</f>
        <v>0</v>
      </c>
      <c r="AT45" s="11"/>
    </row>
    <row r="46" spans="1:46" ht="15" customHeight="1" x14ac:dyDescent="0.25">
      <c r="A46" s="3" t="s">
        <v>154</v>
      </c>
      <c r="B46" s="3" t="s">
        <v>137</v>
      </c>
      <c r="C46" s="54" t="s">
        <v>32</v>
      </c>
      <c r="D46" s="3">
        <v>3</v>
      </c>
      <c r="E46" s="3" t="s">
        <v>33</v>
      </c>
      <c r="F46" s="3" t="s">
        <v>86</v>
      </c>
      <c r="G46" s="3" t="s">
        <v>34</v>
      </c>
      <c r="H46" s="3" t="s">
        <v>76</v>
      </c>
      <c r="I46" s="3" t="s">
        <v>87</v>
      </c>
      <c r="J46" s="3">
        <v>2116291</v>
      </c>
      <c r="K46" s="3" t="s">
        <v>88</v>
      </c>
      <c r="L46" s="3">
        <v>3017616045</v>
      </c>
      <c r="M46" s="13">
        <v>45894</v>
      </c>
      <c r="N46" s="3" t="s">
        <v>39</v>
      </c>
      <c r="O46" s="3" t="s">
        <v>36</v>
      </c>
      <c r="P46" s="72">
        <v>0</v>
      </c>
      <c r="Q46" s="72">
        <v>0</v>
      </c>
      <c r="R46" s="72">
        <v>0</v>
      </c>
      <c r="S46" s="72">
        <v>0</v>
      </c>
      <c r="T46" s="72">
        <v>0</v>
      </c>
      <c r="U46" s="72">
        <v>0</v>
      </c>
      <c r="V46" s="72">
        <v>0</v>
      </c>
      <c r="W46" s="72">
        <v>0</v>
      </c>
      <c r="X46" s="72">
        <v>0</v>
      </c>
      <c r="Y46" s="72">
        <v>0</v>
      </c>
      <c r="Z46" s="72">
        <v>0</v>
      </c>
      <c r="AA46" s="72">
        <v>0</v>
      </c>
      <c r="AB46" s="72">
        <v>0</v>
      </c>
      <c r="AC46" s="72">
        <v>0</v>
      </c>
      <c r="AD46" s="72">
        <v>0</v>
      </c>
      <c r="AE46" s="72">
        <v>0</v>
      </c>
      <c r="AF46" s="72">
        <v>0</v>
      </c>
      <c r="AG46" s="72">
        <v>0</v>
      </c>
      <c r="AH46" s="72">
        <v>0</v>
      </c>
      <c r="AI46" s="72">
        <v>0</v>
      </c>
      <c r="AJ46" s="72">
        <v>0</v>
      </c>
      <c r="AK46" s="72">
        <v>0</v>
      </c>
      <c r="AL46" s="72">
        <v>0</v>
      </c>
      <c r="AM46" s="72">
        <v>0</v>
      </c>
      <c r="AN46" s="72">
        <v>0</v>
      </c>
      <c r="AO46" s="72">
        <v>0</v>
      </c>
      <c r="AP46" s="72">
        <v>0</v>
      </c>
      <c r="AQ46" s="72">
        <v>0</v>
      </c>
      <c r="AR46" s="72">
        <v>0</v>
      </c>
      <c r="AS46" s="73">
        <f>SUMIF(P46:AR46,3.45)</f>
        <v>0</v>
      </c>
      <c r="AT46" s="3"/>
    </row>
    <row r="47" spans="1:46" ht="15" customHeight="1" x14ac:dyDescent="0.25">
      <c r="A47" s="3" t="s">
        <v>154</v>
      </c>
      <c r="B47" s="3" t="s">
        <v>137</v>
      </c>
      <c r="C47" s="54" t="s">
        <v>32</v>
      </c>
      <c r="D47" s="3">
        <v>3</v>
      </c>
      <c r="E47" s="3" t="s">
        <v>33</v>
      </c>
      <c r="F47" s="3" t="s">
        <v>89</v>
      </c>
      <c r="G47" s="3" t="s">
        <v>34</v>
      </c>
      <c r="H47" s="3" t="s">
        <v>76</v>
      </c>
      <c r="I47" s="3" t="s">
        <v>87</v>
      </c>
      <c r="J47" s="3">
        <v>2124205</v>
      </c>
      <c r="K47" s="3" t="s">
        <v>90</v>
      </c>
      <c r="L47" s="3">
        <v>3217239673</v>
      </c>
      <c r="M47" s="13">
        <v>45917</v>
      </c>
      <c r="N47" s="3" t="s">
        <v>91</v>
      </c>
      <c r="O47" s="3" t="s">
        <v>36</v>
      </c>
      <c r="P47" s="72">
        <v>0</v>
      </c>
      <c r="Q47" s="72">
        <v>0</v>
      </c>
      <c r="R47" s="72">
        <v>0</v>
      </c>
      <c r="S47" s="72">
        <v>0</v>
      </c>
      <c r="T47" s="72">
        <v>0</v>
      </c>
      <c r="U47" s="72">
        <v>0</v>
      </c>
      <c r="V47" s="72">
        <v>0</v>
      </c>
      <c r="W47" s="72">
        <v>0</v>
      </c>
      <c r="X47" s="72">
        <v>0</v>
      </c>
      <c r="Y47" s="72">
        <v>0</v>
      </c>
      <c r="Z47" s="72">
        <v>0</v>
      </c>
      <c r="AA47" s="72">
        <v>0</v>
      </c>
      <c r="AB47" s="72">
        <v>0</v>
      </c>
      <c r="AC47" s="72">
        <v>0</v>
      </c>
      <c r="AD47" s="72">
        <v>0</v>
      </c>
      <c r="AE47" s="72">
        <v>0</v>
      </c>
      <c r="AF47" s="72">
        <v>0</v>
      </c>
      <c r="AG47" s="72">
        <v>0</v>
      </c>
      <c r="AH47" s="72">
        <v>0</v>
      </c>
      <c r="AI47" s="72">
        <v>0</v>
      </c>
      <c r="AJ47" s="72">
        <v>0</v>
      </c>
      <c r="AK47" s="72">
        <v>0</v>
      </c>
      <c r="AL47" s="72">
        <v>0</v>
      </c>
      <c r="AM47" s="72">
        <v>0</v>
      </c>
      <c r="AN47" s="72">
        <v>0</v>
      </c>
      <c r="AO47" s="72">
        <v>0</v>
      </c>
      <c r="AP47" s="72">
        <v>0</v>
      </c>
      <c r="AQ47" s="72">
        <v>0</v>
      </c>
      <c r="AR47" s="72">
        <v>0</v>
      </c>
      <c r="AS47" s="73">
        <f t="shared" ref="AS47:AS50" si="178">SUMIF(P47:AR47,3.45)</f>
        <v>0</v>
      </c>
      <c r="AT47" s="3"/>
    </row>
    <row r="48" spans="1:46" ht="15" customHeight="1" x14ac:dyDescent="0.25">
      <c r="A48" s="3" t="s">
        <v>154</v>
      </c>
      <c r="B48" s="3" t="s">
        <v>137</v>
      </c>
      <c r="C48" s="54" t="s">
        <v>32</v>
      </c>
      <c r="D48" s="3">
        <v>3</v>
      </c>
      <c r="E48" s="3" t="s">
        <v>33</v>
      </c>
      <c r="F48" s="3" t="s">
        <v>92</v>
      </c>
      <c r="G48" s="3" t="s">
        <v>34</v>
      </c>
      <c r="H48" s="3" t="s">
        <v>76</v>
      </c>
      <c r="I48" s="3" t="s">
        <v>87</v>
      </c>
      <c r="J48" s="3">
        <v>1113036406</v>
      </c>
      <c r="K48" s="3" t="s">
        <v>93</v>
      </c>
      <c r="L48" s="3">
        <v>3145950331</v>
      </c>
      <c r="M48" s="13">
        <v>45898</v>
      </c>
      <c r="N48" s="3" t="s">
        <v>35</v>
      </c>
      <c r="O48" s="3" t="s">
        <v>36</v>
      </c>
      <c r="P48" s="72">
        <v>0</v>
      </c>
      <c r="Q48" s="72">
        <v>0</v>
      </c>
      <c r="R48" s="72">
        <v>0</v>
      </c>
      <c r="S48" s="72">
        <v>0</v>
      </c>
      <c r="T48" s="72">
        <v>0</v>
      </c>
      <c r="U48" s="72">
        <v>0</v>
      </c>
      <c r="V48" s="72">
        <v>0</v>
      </c>
      <c r="W48" s="72">
        <v>0</v>
      </c>
      <c r="X48" s="72">
        <v>0</v>
      </c>
      <c r="Y48" s="72">
        <v>0</v>
      </c>
      <c r="Z48" s="72">
        <v>0</v>
      </c>
      <c r="AA48" s="72">
        <v>0</v>
      </c>
      <c r="AB48" s="72">
        <v>0</v>
      </c>
      <c r="AC48" s="72">
        <v>0</v>
      </c>
      <c r="AD48" s="72">
        <v>0</v>
      </c>
      <c r="AE48" s="72">
        <v>0</v>
      </c>
      <c r="AF48" s="72">
        <v>0</v>
      </c>
      <c r="AG48" s="72">
        <v>0</v>
      </c>
      <c r="AH48" s="72">
        <v>0</v>
      </c>
      <c r="AI48" s="72">
        <v>0</v>
      </c>
      <c r="AJ48" s="72">
        <v>0</v>
      </c>
      <c r="AK48" s="72">
        <v>0</v>
      </c>
      <c r="AL48" s="72">
        <v>0</v>
      </c>
      <c r="AM48" s="72">
        <v>0</v>
      </c>
      <c r="AN48" s="72">
        <v>0</v>
      </c>
      <c r="AO48" s="72">
        <v>0</v>
      </c>
      <c r="AP48" s="72">
        <v>0</v>
      </c>
      <c r="AQ48" s="72">
        <v>0</v>
      </c>
      <c r="AR48" s="72">
        <v>0</v>
      </c>
      <c r="AS48" s="73">
        <f t="shared" si="178"/>
        <v>0</v>
      </c>
      <c r="AT48" s="3"/>
    </row>
    <row r="49" spans="1:46" ht="15" customHeight="1" x14ac:dyDescent="0.25">
      <c r="A49" s="3" t="s">
        <v>154</v>
      </c>
      <c r="B49" s="3" t="s">
        <v>137</v>
      </c>
      <c r="C49" s="54" t="s">
        <v>32</v>
      </c>
      <c r="D49" s="3">
        <v>3</v>
      </c>
      <c r="E49" s="3" t="s">
        <v>33</v>
      </c>
      <c r="F49" s="3" t="s">
        <v>94</v>
      </c>
      <c r="G49" s="3" t="s">
        <v>34</v>
      </c>
      <c r="H49" s="3" t="s">
        <v>76</v>
      </c>
      <c r="I49" s="3" t="s">
        <v>87</v>
      </c>
      <c r="J49" s="3">
        <v>1879815</v>
      </c>
      <c r="K49" s="3" t="s">
        <v>95</v>
      </c>
      <c r="L49" s="3">
        <v>3222889204</v>
      </c>
      <c r="M49" s="13">
        <v>45894</v>
      </c>
      <c r="N49" s="3" t="s">
        <v>38</v>
      </c>
      <c r="O49" s="3" t="s">
        <v>36</v>
      </c>
      <c r="P49" s="72">
        <v>0</v>
      </c>
      <c r="Q49" s="72">
        <v>0</v>
      </c>
      <c r="R49" s="72">
        <v>0</v>
      </c>
      <c r="S49" s="72">
        <v>0</v>
      </c>
      <c r="T49" s="72">
        <v>0</v>
      </c>
      <c r="U49" s="72">
        <v>0</v>
      </c>
      <c r="V49" s="72">
        <v>0</v>
      </c>
      <c r="W49" s="72">
        <v>0</v>
      </c>
      <c r="X49" s="72">
        <v>0</v>
      </c>
      <c r="Y49" s="72">
        <v>0</v>
      </c>
      <c r="Z49" s="72">
        <v>0</v>
      </c>
      <c r="AA49" s="72">
        <v>0</v>
      </c>
      <c r="AB49" s="72">
        <v>0</v>
      </c>
      <c r="AC49" s="72">
        <v>0</v>
      </c>
      <c r="AD49" s="72">
        <v>0</v>
      </c>
      <c r="AE49" s="72">
        <v>0</v>
      </c>
      <c r="AF49" s="72">
        <v>0</v>
      </c>
      <c r="AG49" s="72">
        <v>0</v>
      </c>
      <c r="AH49" s="72">
        <v>0</v>
      </c>
      <c r="AI49" s="72">
        <v>0</v>
      </c>
      <c r="AJ49" s="72">
        <v>0</v>
      </c>
      <c r="AK49" s="72">
        <v>0</v>
      </c>
      <c r="AL49" s="72">
        <v>0</v>
      </c>
      <c r="AM49" s="72">
        <v>0</v>
      </c>
      <c r="AN49" s="72">
        <v>0</v>
      </c>
      <c r="AO49" s="72">
        <v>0</v>
      </c>
      <c r="AP49" s="72">
        <v>0</v>
      </c>
      <c r="AQ49" s="72">
        <v>0</v>
      </c>
      <c r="AR49" s="72">
        <v>0</v>
      </c>
      <c r="AS49" s="73">
        <f t="shared" si="178"/>
        <v>0</v>
      </c>
      <c r="AT49" s="3"/>
    </row>
    <row r="50" spans="1:46" ht="15" customHeight="1" x14ac:dyDescent="0.25">
      <c r="A50" s="3" t="s">
        <v>154</v>
      </c>
      <c r="B50" s="3" t="s">
        <v>137</v>
      </c>
      <c r="C50" s="54" t="s">
        <v>32</v>
      </c>
      <c r="D50" s="3">
        <v>3</v>
      </c>
      <c r="E50" s="3" t="s">
        <v>33</v>
      </c>
      <c r="F50" s="3" t="s">
        <v>96</v>
      </c>
      <c r="G50" s="3" t="s">
        <v>34</v>
      </c>
      <c r="H50" s="3" t="s">
        <v>76</v>
      </c>
      <c r="I50" s="3" t="s">
        <v>87</v>
      </c>
      <c r="J50" s="3">
        <v>1862295</v>
      </c>
      <c r="K50" s="3" t="s">
        <v>85</v>
      </c>
      <c r="L50" s="3">
        <v>3195715429</v>
      </c>
      <c r="M50" s="13">
        <v>45884</v>
      </c>
      <c r="N50" s="3" t="s">
        <v>39</v>
      </c>
      <c r="O50" s="3" t="s">
        <v>36</v>
      </c>
      <c r="P50" s="72">
        <v>0</v>
      </c>
      <c r="Q50" s="72">
        <v>0</v>
      </c>
      <c r="R50" s="72">
        <v>0</v>
      </c>
      <c r="S50" s="72">
        <v>0</v>
      </c>
      <c r="T50" s="72">
        <v>0</v>
      </c>
      <c r="U50" s="72">
        <v>0</v>
      </c>
      <c r="V50" s="72">
        <v>0</v>
      </c>
      <c r="W50" s="72">
        <v>0</v>
      </c>
      <c r="X50" s="72">
        <v>0</v>
      </c>
      <c r="Y50" s="72">
        <v>0</v>
      </c>
      <c r="Z50" s="72">
        <v>0</v>
      </c>
      <c r="AA50" s="72">
        <v>0</v>
      </c>
      <c r="AB50" s="72">
        <v>0</v>
      </c>
      <c r="AC50" s="72">
        <v>0</v>
      </c>
      <c r="AD50" s="72">
        <v>0</v>
      </c>
      <c r="AE50" s="72">
        <v>0</v>
      </c>
      <c r="AF50" s="72">
        <v>0</v>
      </c>
      <c r="AG50" s="72">
        <v>0</v>
      </c>
      <c r="AH50" s="72">
        <v>0</v>
      </c>
      <c r="AI50" s="72">
        <v>0</v>
      </c>
      <c r="AJ50" s="72">
        <v>0</v>
      </c>
      <c r="AK50" s="72">
        <v>0</v>
      </c>
      <c r="AL50" s="72">
        <v>0</v>
      </c>
      <c r="AM50" s="72">
        <v>0</v>
      </c>
      <c r="AN50" s="72">
        <v>0</v>
      </c>
      <c r="AO50" s="72">
        <v>0</v>
      </c>
      <c r="AP50" s="72">
        <v>0</v>
      </c>
      <c r="AQ50" s="72">
        <v>0</v>
      </c>
      <c r="AR50" s="72">
        <v>0</v>
      </c>
      <c r="AS50" s="73">
        <f t="shared" si="178"/>
        <v>0</v>
      </c>
      <c r="AT50" s="3"/>
    </row>
    <row r="51" spans="1:46" ht="15" customHeight="1" x14ac:dyDescent="0.25">
      <c r="A51" s="11" t="s">
        <v>154</v>
      </c>
      <c r="B51" s="11" t="s">
        <v>137</v>
      </c>
      <c r="C51" s="66" t="s">
        <v>131</v>
      </c>
      <c r="D51" s="67"/>
      <c r="E51" s="67"/>
      <c r="F51" s="67"/>
      <c r="G51" s="67"/>
      <c r="H51" s="67"/>
      <c r="I51" s="67"/>
      <c r="J51" s="11"/>
      <c r="K51" s="11"/>
      <c r="L51" s="11"/>
      <c r="M51" s="12"/>
      <c r="N51" s="11"/>
      <c r="O51" s="11" t="s">
        <v>156</v>
      </c>
      <c r="P51" s="74">
        <f>SUM(P46:P50)</f>
        <v>0</v>
      </c>
      <c r="Q51" s="74">
        <f t="shared" ref="Q51" si="179">SUM(Q46:Q50)</f>
        <v>0</v>
      </c>
      <c r="R51" s="74">
        <f t="shared" ref="R51" si="180">SUM(R46:R50)</f>
        <v>0</v>
      </c>
      <c r="S51" s="74">
        <f t="shared" ref="S51" si="181">SUM(S46:S50)</f>
        <v>0</v>
      </c>
      <c r="T51" s="74">
        <f t="shared" ref="T51" si="182">SUM(T46:T50)</f>
        <v>0</v>
      </c>
      <c r="U51" s="74">
        <f t="shared" ref="U51" si="183">SUM(U46:U50)</f>
        <v>0</v>
      </c>
      <c r="V51" s="74">
        <f t="shared" ref="V51" si="184">SUM(V46:V50)</f>
        <v>0</v>
      </c>
      <c r="W51" s="74">
        <f t="shared" ref="W51" si="185">SUM(W46:W50)</f>
        <v>0</v>
      </c>
      <c r="X51" s="74">
        <f t="shared" ref="X51" si="186">SUM(X46:X50)</f>
        <v>0</v>
      </c>
      <c r="Y51" s="74">
        <f t="shared" ref="Y51" si="187">SUM(Y46:Y50)</f>
        <v>0</v>
      </c>
      <c r="Z51" s="74">
        <f t="shared" ref="Z51" si="188">SUM(Z46:Z50)</f>
        <v>0</v>
      </c>
      <c r="AA51" s="74">
        <f t="shared" ref="AA51" si="189">SUM(AA46:AA50)</f>
        <v>0</v>
      </c>
      <c r="AB51" s="74">
        <f t="shared" ref="AB51" si="190">SUM(AB46:AB50)</f>
        <v>0</v>
      </c>
      <c r="AC51" s="74">
        <f t="shared" ref="AC51" si="191">SUM(AC46:AC50)</f>
        <v>0</v>
      </c>
      <c r="AD51" s="74">
        <f t="shared" ref="AD51" si="192">SUM(AD46:AD50)</f>
        <v>0</v>
      </c>
      <c r="AE51" s="74">
        <f t="shared" ref="AE51" si="193">SUM(AE46:AE50)</f>
        <v>0</v>
      </c>
      <c r="AF51" s="74">
        <f t="shared" ref="AF51" si="194">SUM(AF46:AF50)</f>
        <v>0</v>
      </c>
      <c r="AG51" s="74">
        <f t="shared" ref="AG51" si="195">SUM(AG46:AG50)</f>
        <v>0</v>
      </c>
      <c r="AH51" s="74">
        <f t="shared" ref="AH51" si="196">SUM(AH46:AH50)</f>
        <v>0</v>
      </c>
      <c r="AI51" s="74">
        <f t="shared" ref="AI51" si="197">SUM(AI46:AI50)</f>
        <v>0</v>
      </c>
      <c r="AJ51" s="74">
        <f t="shared" ref="AJ51" si="198">SUM(AJ46:AJ50)</f>
        <v>0</v>
      </c>
      <c r="AK51" s="74">
        <f t="shared" ref="AK51" si="199">SUM(AK46:AK50)</f>
        <v>0</v>
      </c>
      <c r="AL51" s="74">
        <f t="shared" ref="AL51" si="200">SUM(AL46:AL50)</f>
        <v>0</v>
      </c>
      <c r="AM51" s="74">
        <f t="shared" ref="AM51" si="201">SUM(AM46:AM50)</f>
        <v>0</v>
      </c>
      <c r="AN51" s="74">
        <f t="shared" ref="AN51" si="202">SUM(AN46:AN50)</f>
        <v>0</v>
      </c>
      <c r="AO51" s="74">
        <f t="shared" ref="AO51" si="203">SUM(AO46:AO50)</f>
        <v>0</v>
      </c>
      <c r="AP51" s="74">
        <f t="shared" ref="AP51" si="204">SUM(AP46:AP50)</f>
        <v>0</v>
      </c>
      <c r="AQ51" s="74">
        <f t="shared" ref="AQ51" si="205">SUM(AQ46:AQ50)</f>
        <v>0</v>
      </c>
      <c r="AR51" s="74">
        <f t="shared" ref="AR51" si="206">SUM(AR46:AR50)</f>
        <v>0</v>
      </c>
      <c r="AS51" s="74">
        <f>SUM(AS46:AS50)</f>
        <v>0</v>
      </c>
      <c r="AT51" s="11"/>
    </row>
    <row r="52" spans="1:46" ht="15" customHeight="1" x14ac:dyDescent="0.25">
      <c r="A52" s="3" t="s">
        <v>154</v>
      </c>
      <c r="B52" s="3" t="s">
        <v>137</v>
      </c>
      <c r="C52" s="54" t="s">
        <v>32</v>
      </c>
      <c r="D52" s="3">
        <v>3</v>
      </c>
      <c r="E52" s="3" t="s">
        <v>33</v>
      </c>
      <c r="F52" s="3" t="s">
        <v>97</v>
      </c>
      <c r="G52" s="3" t="s">
        <v>34</v>
      </c>
      <c r="H52" s="3" t="s">
        <v>76</v>
      </c>
      <c r="I52" s="3" t="s">
        <v>98</v>
      </c>
      <c r="J52" s="3">
        <v>2294322</v>
      </c>
      <c r="K52" s="3" t="s">
        <v>99</v>
      </c>
      <c r="L52" s="3">
        <v>3122010235</v>
      </c>
      <c r="M52" s="13">
        <v>45897</v>
      </c>
      <c r="N52" s="3" t="s">
        <v>42</v>
      </c>
      <c r="O52" s="3" t="s">
        <v>36</v>
      </c>
      <c r="P52" s="72">
        <v>0</v>
      </c>
      <c r="Q52" s="72">
        <v>0</v>
      </c>
      <c r="R52" s="72">
        <v>0</v>
      </c>
      <c r="S52" s="72">
        <v>0</v>
      </c>
      <c r="T52" s="72">
        <v>0</v>
      </c>
      <c r="U52" s="72">
        <v>0</v>
      </c>
      <c r="V52" s="72">
        <v>0</v>
      </c>
      <c r="W52" s="72">
        <v>0</v>
      </c>
      <c r="X52" s="72">
        <v>0</v>
      </c>
      <c r="Y52" s="72">
        <v>0</v>
      </c>
      <c r="Z52" s="72">
        <v>0</v>
      </c>
      <c r="AA52" s="72">
        <v>0</v>
      </c>
      <c r="AB52" s="72">
        <v>0</v>
      </c>
      <c r="AC52" s="72">
        <v>0</v>
      </c>
      <c r="AD52" s="72">
        <v>0</v>
      </c>
      <c r="AE52" s="72">
        <v>0</v>
      </c>
      <c r="AF52" s="72">
        <v>0</v>
      </c>
      <c r="AG52" s="72">
        <v>0</v>
      </c>
      <c r="AH52" s="72">
        <v>0</v>
      </c>
      <c r="AI52" s="72">
        <v>0</v>
      </c>
      <c r="AJ52" s="72">
        <v>0</v>
      </c>
      <c r="AK52" s="72">
        <v>0</v>
      </c>
      <c r="AL52" s="72">
        <v>0</v>
      </c>
      <c r="AM52" s="72">
        <v>0</v>
      </c>
      <c r="AN52" s="72">
        <v>0</v>
      </c>
      <c r="AO52" s="72">
        <v>0</v>
      </c>
      <c r="AP52" s="72">
        <v>0</v>
      </c>
      <c r="AQ52" s="72">
        <v>0</v>
      </c>
      <c r="AR52" s="72">
        <v>0</v>
      </c>
      <c r="AS52" s="73">
        <f>SUMIF(P52:AR52,3.45)</f>
        <v>0</v>
      </c>
      <c r="AT52" s="3"/>
    </row>
    <row r="53" spans="1:46" ht="15" customHeight="1" x14ac:dyDescent="0.25">
      <c r="A53" s="3" t="s">
        <v>154</v>
      </c>
      <c r="B53" s="3" t="s">
        <v>137</v>
      </c>
      <c r="C53" s="54" t="s">
        <v>32</v>
      </c>
      <c r="D53" s="3">
        <v>3</v>
      </c>
      <c r="E53" s="3" t="s">
        <v>33</v>
      </c>
      <c r="F53" s="3" t="s">
        <v>100</v>
      </c>
      <c r="G53" s="3" t="s">
        <v>34</v>
      </c>
      <c r="H53" s="3" t="s">
        <v>76</v>
      </c>
      <c r="I53" s="3" t="s">
        <v>98</v>
      </c>
      <c r="J53" s="3">
        <v>2289441</v>
      </c>
      <c r="K53" s="3" t="s">
        <v>101</v>
      </c>
      <c r="L53" s="3">
        <v>3102103741</v>
      </c>
      <c r="M53" s="13">
        <v>45894</v>
      </c>
      <c r="N53" s="3" t="s">
        <v>37</v>
      </c>
      <c r="O53" s="3" t="s">
        <v>36</v>
      </c>
      <c r="P53" s="72">
        <v>0</v>
      </c>
      <c r="Q53" s="72">
        <v>0</v>
      </c>
      <c r="R53" s="72">
        <v>0</v>
      </c>
      <c r="S53" s="72">
        <v>0</v>
      </c>
      <c r="T53" s="72">
        <v>0</v>
      </c>
      <c r="U53" s="72">
        <v>0</v>
      </c>
      <c r="V53" s="72">
        <v>0</v>
      </c>
      <c r="W53" s="72">
        <v>0</v>
      </c>
      <c r="X53" s="72">
        <v>0</v>
      </c>
      <c r="Y53" s="72">
        <v>0</v>
      </c>
      <c r="Z53" s="72">
        <v>0</v>
      </c>
      <c r="AA53" s="72">
        <v>0</v>
      </c>
      <c r="AB53" s="72">
        <v>0</v>
      </c>
      <c r="AC53" s="72">
        <v>0</v>
      </c>
      <c r="AD53" s="72">
        <v>0</v>
      </c>
      <c r="AE53" s="72">
        <v>0</v>
      </c>
      <c r="AF53" s="72">
        <v>0</v>
      </c>
      <c r="AG53" s="72">
        <v>0</v>
      </c>
      <c r="AH53" s="72">
        <v>0</v>
      </c>
      <c r="AI53" s="72">
        <v>0</v>
      </c>
      <c r="AJ53" s="72">
        <v>0</v>
      </c>
      <c r="AK53" s="72">
        <v>0</v>
      </c>
      <c r="AL53" s="72">
        <v>0</v>
      </c>
      <c r="AM53" s="72">
        <v>0</v>
      </c>
      <c r="AN53" s="72">
        <v>0</v>
      </c>
      <c r="AO53" s="72">
        <v>0</v>
      </c>
      <c r="AP53" s="72">
        <v>0</v>
      </c>
      <c r="AQ53" s="72">
        <v>0</v>
      </c>
      <c r="AR53" s="72">
        <v>0</v>
      </c>
      <c r="AS53" s="73">
        <f t="shared" ref="AS53:AS56" si="207">SUMIF(P53:AR53,3.45)</f>
        <v>0</v>
      </c>
      <c r="AT53" s="3"/>
    </row>
    <row r="54" spans="1:46" ht="15" customHeight="1" x14ac:dyDescent="0.25">
      <c r="A54" s="3" t="s">
        <v>154</v>
      </c>
      <c r="B54" s="3" t="s">
        <v>137</v>
      </c>
      <c r="C54" s="54" t="s">
        <v>32</v>
      </c>
      <c r="D54" s="3">
        <v>3</v>
      </c>
      <c r="E54" s="3" t="s">
        <v>33</v>
      </c>
      <c r="F54" s="3" t="s">
        <v>102</v>
      </c>
      <c r="G54" s="3" t="s">
        <v>34</v>
      </c>
      <c r="H54" s="3" t="s">
        <v>76</v>
      </c>
      <c r="I54" s="3" t="s">
        <v>98</v>
      </c>
      <c r="J54" s="3">
        <v>1869928</v>
      </c>
      <c r="K54" s="3" t="s">
        <v>103</v>
      </c>
      <c r="L54" s="3">
        <v>3016666239</v>
      </c>
      <c r="M54" s="13">
        <v>45906</v>
      </c>
      <c r="N54" s="3" t="s">
        <v>35</v>
      </c>
      <c r="O54" s="3" t="s">
        <v>36</v>
      </c>
      <c r="P54" s="72">
        <v>0</v>
      </c>
      <c r="Q54" s="72">
        <v>0</v>
      </c>
      <c r="R54" s="72">
        <v>0</v>
      </c>
      <c r="S54" s="72">
        <v>0</v>
      </c>
      <c r="T54" s="72">
        <v>0</v>
      </c>
      <c r="U54" s="72">
        <v>0</v>
      </c>
      <c r="V54" s="72">
        <v>0</v>
      </c>
      <c r="W54" s="72">
        <v>0</v>
      </c>
      <c r="X54" s="72">
        <v>0</v>
      </c>
      <c r="Y54" s="72">
        <v>0</v>
      </c>
      <c r="Z54" s="72">
        <v>0</v>
      </c>
      <c r="AA54" s="72">
        <v>0</v>
      </c>
      <c r="AB54" s="72">
        <v>0</v>
      </c>
      <c r="AC54" s="72">
        <v>0</v>
      </c>
      <c r="AD54" s="72">
        <v>0</v>
      </c>
      <c r="AE54" s="72">
        <v>0</v>
      </c>
      <c r="AF54" s="72">
        <v>0</v>
      </c>
      <c r="AG54" s="72">
        <v>0</v>
      </c>
      <c r="AH54" s="72">
        <v>0</v>
      </c>
      <c r="AI54" s="72">
        <v>0</v>
      </c>
      <c r="AJ54" s="72">
        <v>0</v>
      </c>
      <c r="AK54" s="72">
        <v>0</v>
      </c>
      <c r="AL54" s="72">
        <v>0</v>
      </c>
      <c r="AM54" s="72">
        <v>0</v>
      </c>
      <c r="AN54" s="72">
        <v>0</v>
      </c>
      <c r="AO54" s="72">
        <v>0</v>
      </c>
      <c r="AP54" s="72">
        <v>0</v>
      </c>
      <c r="AQ54" s="72">
        <v>0</v>
      </c>
      <c r="AR54" s="72">
        <v>0</v>
      </c>
      <c r="AS54" s="73">
        <f t="shared" si="207"/>
        <v>0</v>
      </c>
      <c r="AT54" s="3"/>
    </row>
    <row r="55" spans="1:46" ht="15" customHeight="1" x14ac:dyDescent="0.25">
      <c r="A55" s="3" t="s">
        <v>154</v>
      </c>
      <c r="B55" s="3" t="s">
        <v>137</v>
      </c>
      <c r="C55" s="54" t="s">
        <v>32</v>
      </c>
      <c r="D55" s="3">
        <v>3</v>
      </c>
      <c r="E55" s="3" t="s">
        <v>33</v>
      </c>
      <c r="F55" s="3" t="s">
        <v>104</v>
      </c>
      <c r="G55" s="3" t="s">
        <v>34</v>
      </c>
      <c r="H55" s="3" t="s">
        <v>76</v>
      </c>
      <c r="I55" s="3" t="s">
        <v>98</v>
      </c>
      <c r="J55" s="3">
        <v>2160759</v>
      </c>
      <c r="K55" s="3" t="s">
        <v>105</v>
      </c>
      <c r="L55" s="3">
        <v>3202279425</v>
      </c>
      <c r="M55" s="13">
        <v>45895</v>
      </c>
      <c r="N55" s="3" t="s">
        <v>40</v>
      </c>
      <c r="O55" s="3" t="s">
        <v>36</v>
      </c>
      <c r="P55" s="72">
        <v>0</v>
      </c>
      <c r="Q55" s="72">
        <v>0</v>
      </c>
      <c r="R55" s="72">
        <v>0</v>
      </c>
      <c r="S55" s="72">
        <v>0</v>
      </c>
      <c r="T55" s="72">
        <v>0</v>
      </c>
      <c r="U55" s="72">
        <v>0</v>
      </c>
      <c r="V55" s="72">
        <v>0</v>
      </c>
      <c r="W55" s="72">
        <v>0</v>
      </c>
      <c r="X55" s="72">
        <v>0</v>
      </c>
      <c r="Y55" s="72">
        <v>0</v>
      </c>
      <c r="Z55" s="72">
        <v>0</v>
      </c>
      <c r="AA55" s="72">
        <v>0</v>
      </c>
      <c r="AB55" s="72">
        <v>0</v>
      </c>
      <c r="AC55" s="72">
        <v>0</v>
      </c>
      <c r="AD55" s="72">
        <v>0</v>
      </c>
      <c r="AE55" s="72">
        <v>0</v>
      </c>
      <c r="AF55" s="72">
        <v>0</v>
      </c>
      <c r="AG55" s="72">
        <v>0</v>
      </c>
      <c r="AH55" s="72">
        <v>0</v>
      </c>
      <c r="AI55" s="72">
        <v>0</v>
      </c>
      <c r="AJ55" s="72">
        <v>0</v>
      </c>
      <c r="AK55" s="72">
        <v>0</v>
      </c>
      <c r="AL55" s="72">
        <v>0</v>
      </c>
      <c r="AM55" s="72">
        <v>0</v>
      </c>
      <c r="AN55" s="72">
        <v>0</v>
      </c>
      <c r="AO55" s="72">
        <v>0</v>
      </c>
      <c r="AP55" s="72">
        <v>0</v>
      </c>
      <c r="AQ55" s="72">
        <v>0</v>
      </c>
      <c r="AR55" s="72">
        <v>0</v>
      </c>
      <c r="AS55" s="73">
        <f t="shared" si="207"/>
        <v>0</v>
      </c>
      <c r="AT55" s="3"/>
    </row>
    <row r="56" spans="1:46" ht="15" customHeight="1" x14ac:dyDescent="0.25">
      <c r="A56" s="3" t="s">
        <v>154</v>
      </c>
      <c r="B56" s="3" t="s">
        <v>137</v>
      </c>
      <c r="C56" s="54" t="s">
        <v>32</v>
      </c>
      <c r="D56" s="3">
        <v>3</v>
      </c>
      <c r="E56" s="3" t="s">
        <v>33</v>
      </c>
      <c r="F56" s="3" t="s">
        <v>106</v>
      </c>
      <c r="G56" s="3" t="s">
        <v>34</v>
      </c>
      <c r="H56" s="3" t="s">
        <v>76</v>
      </c>
      <c r="I56" s="3" t="s">
        <v>98</v>
      </c>
      <c r="J56" s="3">
        <v>2052224</v>
      </c>
      <c r="K56" s="3" t="s">
        <v>107</v>
      </c>
      <c r="L56" s="3">
        <v>3102103741</v>
      </c>
      <c r="M56" s="13">
        <v>45897</v>
      </c>
      <c r="N56" s="3" t="s">
        <v>91</v>
      </c>
      <c r="O56" s="3" t="s">
        <v>36</v>
      </c>
      <c r="P56" s="72">
        <v>0</v>
      </c>
      <c r="Q56" s="72">
        <v>0</v>
      </c>
      <c r="R56" s="72">
        <v>0</v>
      </c>
      <c r="S56" s="72">
        <v>0</v>
      </c>
      <c r="T56" s="72">
        <v>0</v>
      </c>
      <c r="U56" s="72">
        <v>0</v>
      </c>
      <c r="V56" s="72">
        <v>0</v>
      </c>
      <c r="W56" s="72">
        <v>0</v>
      </c>
      <c r="X56" s="72">
        <v>0</v>
      </c>
      <c r="Y56" s="72">
        <v>0</v>
      </c>
      <c r="Z56" s="72">
        <v>0</v>
      </c>
      <c r="AA56" s="72">
        <v>0</v>
      </c>
      <c r="AB56" s="72">
        <v>0</v>
      </c>
      <c r="AC56" s="72">
        <v>0</v>
      </c>
      <c r="AD56" s="72">
        <v>0</v>
      </c>
      <c r="AE56" s="72">
        <v>0</v>
      </c>
      <c r="AF56" s="72">
        <v>0</v>
      </c>
      <c r="AG56" s="72">
        <v>0</v>
      </c>
      <c r="AH56" s="72">
        <v>0</v>
      </c>
      <c r="AI56" s="72">
        <v>0</v>
      </c>
      <c r="AJ56" s="72">
        <v>0</v>
      </c>
      <c r="AK56" s="72">
        <v>0</v>
      </c>
      <c r="AL56" s="72">
        <v>0</v>
      </c>
      <c r="AM56" s="72">
        <v>0</v>
      </c>
      <c r="AN56" s="72">
        <v>0</v>
      </c>
      <c r="AO56" s="72">
        <v>0</v>
      </c>
      <c r="AP56" s="72">
        <v>0</v>
      </c>
      <c r="AQ56" s="72">
        <v>0</v>
      </c>
      <c r="AR56" s="72">
        <v>0</v>
      </c>
      <c r="AS56" s="73">
        <f t="shared" si="207"/>
        <v>0</v>
      </c>
      <c r="AT56" s="3"/>
    </row>
    <row r="57" spans="1:46" x14ac:dyDescent="0.25">
      <c r="A57" s="11" t="s">
        <v>154</v>
      </c>
      <c r="B57" s="11" t="s">
        <v>137</v>
      </c>
      <c r="C57" s="66" t="s">
        <v>132</v>
      </c>
      <c r="D57" s="67"/>
      <c r="E57" s="67"/>
      <c r="F57" s="67"/>
      <c r="G57" s="67"/>
      <c r="H57" s="67"/>
      <c r="I57" s="67"/>
      <c r="J57" s="11"/>
      <c r="K57" s="11"/>
      <c r="L57" s="11"/>
      <c r="M57" s="12"/>
      <c r="N57" s="11"/>
      <c r="O57" s="11" t="s">
        <v>156</v>
      </c>
      <c r="P57" s="74">
        <f>SUM(P52:P56)</f>
        <v>0</v>
      </c>
      <c r="Q57" s="74">
        <f t="shared" ref="Q57" si="208">SUM(Q52:Q56)</f>
        <v>0</v>
      </c>
      <c r="R57" s="74">
        <f t="shared" ref="R57" si="209">SUM(R52:R56)</f>
        <v>0</v>
      </c>
      <c r="S57" s="74">
        <f t="shared" ref="S57" si="210">SUM(S52:S56)</f>
        <v>0</v>
      </c>
      <c r="T57" s="74">
        <f t="shared" ref="T57" si="211">SUM(T52:T56)</f>
        <v>0</v>
      </c>
      <c r="U57" s="74">
        <f t="shared" ref="U57" si="212">SUM(U52:U56)</f>
        <v>0</v>
      </c>
      <c r="V57" s="74">
        <f t="shared" ref="V57" si="213">SUM(V52:V56)</f>
        <v>0</v>
      </c>
      <c r="W57" s="74">
        <f t="shared" ref="W57" si="214">SUM(W52:W56)</f>
        <v>0</v>
      </c>
      <c r="X57" s="74">
        <f t="shared" ref="X57" si="215">SUM(X52:X56)</f>
        <v>0</v>
      </c>
      <c r="Y57" s="74">
        <f t="shared" ref="Y57" si="216">SUM(Y52:Y56)</f>
        <v>0</v>
      </c>
      <c r="Z57" s="74">
        <f t="shared" ref="Z57" si="217">SUM(Z52:Z56)</f>
        <v>0</v>
      </c>
      <c r="AA57" s="74">
        <f t="shared" ref="AA57" si="218">SUM(AA52:AA56)</f>
        <v>0</v>
      </c>
      <c r="AB57" s="74">
        <f t="shared" ref="AB57" si="219">SUM(AB52:AB56)</f>
        <v>0</v>
      </c>
      <c r="AC57" s="74">
        <f t="shared" ref="AC57" si="220">SUM(AC52:AC56)</f>
        <v>0</v>
      </c>
      <c r="AD57" s="74">
        <f t="shared" ref="AD57" si="221">SUM(AD52:AD56)</f>
        <v>0</v>
      </c>
      <c r="AE57" s="74">
        <f t="shared" ref="AE57" si="222">SUM(AE52:AE56)</f>
        <v>0</v>
      </c>
      <c r="AF57" s="74">
        <f t="shared" ref="AF57" si="223">SUM(AF52:AF56)</f>
        <v>0</v>
      </c>
      <c r="AG57" s="74">
        <f t="shared" ref="AG57" si="224">SUM(AG52:AG56)</f>
        <v>0</v>
      </c>
      <c r="AH57" s="74">
        <f t="shared" ref="AH57" si="225">SUM(AH52:AH56)</f>
        <v>0</v>
      </c>
      <c r="AI57" s="74">
        <f t="shared" ref="AI57" si="226">SUM(AI52:AI56)</f>
        <v>0</v>
      </c>
      <c r="AJ57" s="74">
        <f t="shared" ref="AJ57" si="227">SUM(AJ52:AJ56)</f>
        <v>0</v>
      </c>
      <c r="AK57" s="74">
        <f t="shared" ref="AK57" si="228">SUM(AK52:AK56)</f>
        <v>0</v>
      </c>
      <c r="AL57" s="74">
        <f t="shared" ref="AL57" si="229">SUM(AL52:AL56)</f>
        <v>0</v>
      </c>
      <c r="AM57" s="74">
        <f t="shared" ref="AM57" si="230">SUM(AM52:AM56)</f>
        <v>0</v>
      </c>
      <c r="AN57" s="74">
        <f t="shared" ref="AN57" si="231">SUM(AN52:AN56)</f>
        <v>0</v>
      </c>
      <c r="AO57" s="74">
        <f t="shared" ref="AO57" si="232">SUM(AO52:AO56)</f>
        <v>0</v>
      </c>
      <c r="AP57" s="74">
        <f t="shared" ref="AP57" si="233">SUM(AP52:AP56)</f>
        <v>0</v>
      </c>
      <c r="AQ57" s="74">
        <f t="shared" ref="AQ57" si="234">SUM(AQ52:AQ56)</f>
        <v>0</v>
      </c>
      <c r="AR57" s="74">
        <f t="shared" ref="AR57" si="235">SUM(AR52:AR56)</f>
        <v>0</v>
      </c>
      <c r="AS57" s="74">
        <f>SUM(AS52:AS56)</f>
        <v>0</v>
      </c>
      <c r="AT57" s="11"/>
    </row>
    <row r="58" spans="1:46" ht="15" customHeight="1" x14ac:dyDescent="0.25">
      <c r="A58" s="55" t="s">
        <v>154</v>
      </c>
      <c r="B58" s="55" t="s">
        <v>137</v>
      </c>
      <c r="C58" s="40"/>
      <c r="D58" s="40"/>
      <c r="E58" s="40"/>
      <c r="F58" s="40"/>
      <c r="G58" s="40"/>
      <c r="H58" s="40"/>
      <c r="I58" s="40"/>
      <c r="J58" s="40"/>
      <c r="K58" s="40"/>
      <c r="L58" s="40"/>
      <c r="M58" s="40"/>
      <c r="N58" s="40"/>
      <c r="O58" s="9" t="s">
        <v>46</v>
      </c>
      <c r="P58" s="75">
        <f t="shared" ref="P58:AS58" si="236">SUM(P45,P51,P57)</f>
        <v>0</v>
      </c>
      <c r="Q58" s="75">
        <f t="shared" si="236"/>
        <v>0</v>
      </c>
      <c r="R58" s="75">
        <f t="shared" si="236"/>
        <v>0</v>
      </c>
      <c r="S58" s="75">
        <f t="shared" si="236"/>
        <v>0</v>
      </c>
      <c r="T58" s="75">
        <f t="shared" si="236"/>
        <v>0</v>
      </c>
      <c r="U58" s="75">
        <f t="shared" si="236"/>
        <v>0</v>
      </c>
      <c r="V58" s="75">
        <f t="shared" si="236"/>
        <v>0</v>
      </c>
      <c r="W58" s="75">
        <f t="shared" si="236"/>
        <v>0</v>
      </c>
      <c r="X58" s="75">
        <f t="shared" si="236"/>
        <v>0</v>
      </c>
      <c r="Y58" s="75">
        <f t="shared" si="236"/>
        <v>0</v>
      </c>
      <c r="Z58" s="75">
        <f t="shared" si="236"/>
        <v>0</v>
      </c>
      <c r="AA58" s="75">
        <f t="shared" si="236"/>
        <v>0</v>
      </c>
      <c r="AB58" s="75">
        <f t="shared" si="236"/>
        <v>0</v>
      </c>
      <c r="AC58" s="75">
        <f t="shared" si="236"/>
        <v>0</v>
      </c>
      <c r="AD58" s="75">
        <f t="shared" si="236"/>
        <v>0</v>
      </c>
      <c r="AE58" s="75">
        <f t="shared" si="236"/>
        <v>0</v>
      </c>
      <c r="AF58" s="75">
        <f t="shared" si="236"/>
        <v>0</v>
      </c>
      <c r="AG58" s="75">
        <f t="shared" si="236"/>
        <v>0</v>
      </c>
      <c r="AH58" s="75">
        <f t="shared" si="236"/>
        <v>0</v>
      </c>
      <c r="AI58" s="75">
        <f t="shared" si="236"/>
        <v>0</v>
      </c>
      <c r="AJ58" s="75">
        <f t="shared" si="236"/>
        <v>0</v>
      </c>
      <c r="AK58" s="75">
        <f t="shared" si="236"/>
        <v>0</v>
      </c>
      <c r="AL58" s="75">
        <f t="shared" si="236"/>
        <v>0</v>
      </c>
      <c r="AM58" s="75">
        <f t="shared" si="236"/>
        <v>0</v>
      </c>
      <c r="AN58" s="75">
        <f t="shared" si="236"/>
        <v>0</v>
      </c>
      <c r="AO58" s="75">
        <f t="shared" si="236"/>
        <v>0</v>
      </c>
      <c r="AP58" s="75">
        <f t="shared" si="236"/>
        <v>0</v>
      </c>
      <c r="AQ58" s="75">
        <f t="shared" si="236"/>
        <v>0</v>
      </c>
      <c r="AR58" s="75">
        <f t="shared" si="236"/>
        <v>0</v>
      </c>
      <c r="AS58" s="75">
        <f t="shared" si="236"/>
        <v>0</v>
      </c>
      <c r="AT58" s="56"/>
    </row>
    <row r="59" spans="1:46" ht="15" customHeight="1" x14ac:dyDescent="0.25">
      <c r="A59" s="3" t="s">
        <v>154</v>
      </c>
      <c r="B59" s="3" t="s">
        <v>138</v>
      </c>
      <c r="C59" s="54" t="s">
        <v>32</v>
      </c>
      <c r="D59" s="3">
        <v>3</v>
      </c>
      <c r="E59" s="3" t="s">
        <v>33</v>
      </c>
      <c r="F59" s="34" t="s">
        <v>75</v>
      </c>
      <c r="G59" s="3" t="s">
        <v>34</v>
      </c>
      <c r="H59" s="3" t="s">
        <v>76</v>
      </c>
      <c r="I59" s="3" t="s">
        <v>77</v>
      </c>
      <c r="J59" s="3">
        <v>2036644</v>
      </c>
      <c r="K59" s="3" t="s">
        <v>78</v>
      </c>
      <c r="L59" s="3">
        <v>3188120410</v>
      </c>
      <c r="M59" s="13">
        <v>45903</v>
      </c>
      <c r="N59" s="3" t="s">
        <v>40</v>
      </c>
      <c r="O59" s="3" t="s">
        <v>36</v>
      </c>
      <c r="P59" s="72">
        <v>0</v>
      </c>
      <c r="Q59" s="72">
        <v>0</v>
      </c>
      <c r="R59" s="72">
        <v>0</v>
      </c>
      <c r="S59" s="72">
        <v>0</v>
      </c>
      <c r="T59" s="72">
        <v>0</v>
      </c>
      <c r="U59" s="72">
        <v>0</v>
      </c>
      <c r="V59" s="72">
        <v>0</v>
      </c>
      <c r="W59" s="72">
        <v>0</v>
      </c>
      <c r="X59" s="72">
        <v>0</v>
      </c>
      <c r="Y59" s="72">
        <v>0</v>
      </c>
      <c r="Z59" s="72">
        <v>0</v>
      </c>
      <c r="AA59" s="72">
        <v>0</v>
      </c>
      <c r="AB59" s="72">
        <v>0</v>
      </c>
      <c r="AC59" s="72">
        <v>0</v>
      </c>
      <c r="AD59" s="72">
        <v>0</v>
      </c>
      <c r="AE59" s="72">
        <v>0</v>
      </c>
      <c r="AF59" s="72">
        <v>0</v>
      </c>
      <c r="AG59" s="72">
        <v>0</v>
      </c>
      <c r="AH59" s="72">
        <v>0</v>
      </c>
      <c r="AI59" s="72">
        <v>0</v>
      </c>
      <c r="AJ59" s="72">
        <v>0</v>
      </c>
      <c r="AK59" s="72">
        <v>0</v>
      </c>
      <c r="AL59" s="72">
        <v>0</v>
      </c>
      <c r="AM59" s="72">
        <v>0</v>
      </c>
      <c r="AN59" s="72">
        <v>0</v>
      </c>
      <c r="AO59" s="72">
        <v>0</v>
      </c>
      <c r="AP59" s="72">
        <v>0</v>
      </c>
      <c r="AQ59" s="72">
        <v>0</v>
      </c>
      <c r="AR59" s="72">
        <v>0</v>
      </c>
      <c r="AS59" s="73">
        <f>SUMIF(P59:AR59,3.45)</f>
        <v>0</v>
      </c>
      <c r="AT59" s="3"/>
    </row>
    <row r="60" spans="1:46" ht="15" customHeight="1" x14ac:dyDescent="0.25">
      <c r="A60" s="3" t="s">
        <v>154</v>
      </c>
      <c r="B60" s="3" t="s">
        <v>138</v>
      </c>
      <c r="C60" s="54" t="s">
        <v>32</v>
      </c>
      <c r="D60" s="3">
        <v>3</v>
      </c>
      <c r="E60" s="3" t="s">
        <v>33</v>
      </c>
      <c r="F60" s="3" t="s">
        <v>79</v>
      </c>
      <c r="G60" s="3" t="s">
        <v>34</v>
      </c>
      <c r="H60" s="3" t="s">
        <v>76</v>
      </c>
      <c r="I60" s="3" t="s">
        <v>77</v>
      </c>
      <c r="J60" s="3">
        <v>2012501</v>
      </c>
      <c r="K60" s="3" t="s">
        <v>80</v>
      </c>
      <c r="L60" s="3">
        <v>3124250477</v>
      </c>
      <c r="M60" s="13">
        <v>45895</v>
      </c>
      <c r="N60" s="3" t="s">
        <v>39</v>
      </c>
      <c r="O60" s="3" t="s">
        <v>36</v>
      </c>
      <c r="P60" s="72">
        <v>0</v>
      </c>
      <c r="Q60" s="72">
        <v>0</v>
      </c>
      <c r="R60" s="72">
        <v>0</v>
      </c>
      <c r="S60" s="72">
        <v>0</v>
      </c>
      <c r="T60" s="72">
        <v>0</v>
      </c>
      <c r="U60" s="72">
        <v>0</v>
      </c>
      <c r="V60" s="72">
        <v>0</v>
      </c>
      <c r="W60" s="72">
        <v>0</v>
      </c>
      <c r="X60" s="72">
        <v>0</v>
      </c>
      <c r="Y60" s="72">
        <v>0</v>
      </c>
      <c r="Z60" s="72">
        <v>0</v>
      </c>
      <c r="AA60" s="72">
        <v>0</v>
      </c>
      <c r="AB60" s="72">
        <v>0</v>
      </c>
      <c r="AC60" s="72">
        <v>0</v>
      </c>
      <c r="AD60" s="72">
        <v>0</v>
      </c>
      <c r="AE60" s="72">
        <v>0</v>
      </c>
      <c r="AF60" s="72">
        <v>0</v>
      </c>
      <c r="AG60" s="72">
        <v>0</v>
      </c>
      <c r="AH60" s="72">
        <v>0</v>
      </c>
      <c r="AI60" s="72">
        <v>0</v>
      </c>
      <c r="AJ60" s="72">
        <v>0</v>
      </c>
      <c r="AK60" s="72">
        <v>0</v>
      </c>
      <c r="AL60" s="72">
        <v>0</v>
      </c>
      <c r="AM60" s="72">
        <v>0</v>
      </c>
      <c r="AN60" s="72">
        <v>0</v>
      </c>
      <c r="AO60" s="72">
        <v>0</v>
      </c>
      <c r="AP60" s="72">
        <v>0</v>
      </c>
      <c r="AQ60" s="72">
        <v>0</v>
      </c>
      <c r="AR60" s="72">
        <v>0</v>
      </c>
      <c r="AS60" s="73">
        <f t="shared" ref="AS60:AS63" si="237">SUMIF(P60:AR60,3.45)</f>
        <v>0</v>
      </c>
      <c r="AT60" s="3"/>
    </row>
    <row r="61" spans="1:46" ht="15" customHeight="1" x14ac:dyDescent="0.25">
      <c r="A61" s="3" t="s">
        <v>154</v>
      </c>
      <c r="B61" s="3" t="s">
        <v>138</v>
      </c>
      <c r="C61" s="54" t="s">
        <v>32</v>
      </c>
      <c r="D61" s="3">
        <v>3</v>
      </c>
      <c r="E61" s="3" t="s">
        <v>33</v>
      </c>
      <c r="F61" s="3" t="s">
        <v>81</v>
      </c>
      <c r="G61" s="3" t="s">
        <v>34</v>
      </c>
      <c r="H61" s="3" t="s">
        <v>76</v>
      </c>
      <c r="I61" s="3" t="s">
        <v>77</v>
      </c>
      <c r="J61" s="3">
        <v>1980561</v>
      </c>
      <c r="K61" s="3" t="s">
        <v>82</v>
      </c>
      <c r="L61" s="3">
        <v>3136765995</v>
      </c>
      <c r="M61" s="13">
        <v>45895</v>
      </c>
      <c r="N61" s="3" t="s">
        <v>41</v>
      </c>
      <c r="O61" s="3" t="s">
        <v>36</v>
      </c>
      <c r="P61" s="72">
        <v>0</v>
      </c>
      <c r="Q61" s="72">
        <v>0</v>
      </c>
      <c r="R61" s="72">
        <v>0</v>
      </c>
      <c r="S61" s="72">
        <v>0</v>
      </c>
      <c r="T61" s="72">
        <v>0</v>
      </c>
      <c r="U61" s="72">
        <v>0</v>
      </c>
      <c r="V61" s="72">
        <v>0</v>
      </c>
      <c r="W61" s="72">
        <v>0</v>
      </c>
      <c r="X61" s="72">
        <v>0</v>
      </c>
      <c r="Y61" s="72">
        <v>0</v>
      </c>
      <c r="Z61" s="72">
        <v>0</v>
      </c>
      <c r="AA61" s="72">
        <v>0</v>
      </c>
      <c r="AB61" s="72">
        <v>0</v>
      </c>
      <c r="AC61" s="72">
        <v>0</v>
      </c>
      <c r="AD61" s="72">
        <v>0</v>
      </c>
      <c r="AE61" s="72">
        <v>0</v>
      </c>
      <c r="AF61" s="72">
        <v>0</v>
      </c>
      <c r="AG61" s="72">
        <v>0</v>
      </c>
      <c r="AH61" s="72">
        <v>0</v>
      </c>
      <c r="AI61" s="72">
        <v>0</v>
      </c>
      <c r="AJ61" s="72">
        <v>0</v>
      </c>
      <c r="AK61" s="72">
        <v>0</v>
      </c>
      <c r="AL61" s="72">
        <v>0</v>
      </c>
      <c r="AM61" s="72">
        <v>0</v>
      </c>
      <c r="AN61" s="72">
        <v>0</v>
      </c>
      <c r="AO61" s="72">
        <v>0</v>
      </c>
      <c r="AP61" s="72">
        <v>0</v>
      </c>
      <c r="AQ61" s="72">
        <v>0</v>
      </c>
      <c r="AR61" s="72">
        <v>0</v>
      </c>
      <c r="AS61" s="73">
        <f t="shared" si="237"/>
        <v>0</v>
      </c>
      <c r="AT61" s="3"/>
    </row>
    <row r="62" spans="1:46" ht="15" customHeight="1" x14ac:dyDescent="0.25">
      <c r="A62" s="3" t="s">
        <v>154</v>
      </c>
      <c r="B62" s="3" t="s">
        <v>138</v>
      </c>
      <c r="C62" s="54" t="s">
        <v>32</v>
      </c>
      <c r="D62" s="3">
        <v>3</v>
      </c>
      <c r="E62" s="3" t="s">
        <v>33</v>
      </c>
      <c r="F62" s="3" t="s">
        <v>83</v>
      </c>
      <c r="G62" s="3" t="s">
        <v>34</v>
      </c>
      <c r="H62" s="3" t="s">
        <v>76</v>
      </c>
      <c r="I62" s="3" t="s">
        <v>77</v>
      </c>
      <c r="J62" s="3">
        <v>1912585</v>
      </c>
      <c r="K62" s="3"/>
      <c r="L62" s="3">
        <v>3136730889</v>
      </c>
      <c r="M62" s="13">
        <v>45894</v>
      </c>
      <c r="N62" s="3" t="s">
        <v>37</v>
      </c>
      <c r="O62" s="3" t="s">
        <v>36</v>
      </c>
      <c r="P62" s="72">
        <v>0</v>
      </c>
      <c r="Q62" s="72">
        <v>0</v>
      </c>
      <c r="R62" s="72">
        <v>0</v>
      </c>
      <c r="S62" s="72">
        <v>0</v>
      </c>
      <c r="T62" s="72">
        <v>0</v>
      </c>
      <c r="U62" s="72">
        <v>0</v>
      </c>
      <c r="V62" s="72">
        <v>0</v>
      </c>
      <c r="W62" s="72">
        <v>0</v>
      </c>
      <c r="X62" s="72">
        <v>0</v>
      </c>
      <c r="Y62" s="72">
        <v>0</v>
      </c>
      <c r="Z62" s="72">
        <v>0</v>
      </c>
      <c r="AA62" s="72">
        <v>0</v>
      </c>
      <c r="AB62" s="72">
        <v>0</v>
      </c>
      <c r="AC62" s="72">
        <v>0</v>
      </c>
      <c r="AD62" s="72">
        <v>0</v>
      </c>
      <c r="AE62" s="72">
        <v>0</v>
      </c>
      <c r="AF62" s="72">
        <v>0</v>
      </c>
      <c r="AG62" s="72">
        <v>0</v>
      </c>
      <c r="AH62" s="72">
        <v>0</v>
      </c>
      <c r="AI62" s="72">
        <v>0</v>
      </c>
      <c r="AJ62" s="72">
        <v>0</v>
      </c>
      <c r="AK62" s="72">
        <v>0</v>
      </c>
      <c r="AL62" s="72">
        <v>0</v>
      </c>
      <c r="AM62" s="72">
        <v>0</v>
      </c>
      <c r="AN62" s="72">
        <v>0</v>
      </c>
      <c r="AO62" s="72">
        <v>0</v>
      </c>
      <c r="AP62" s="72">
        <v>0</v>
      </c>
      <c r="AQ62" s="72">
        <v>0</v>
      </c>
      <c r="AR62" s="72">
        <v>0</v>
      </c>
      <c r="AS62" s="73">
        <f t="shared" si="237"/>
        <v>0</v>
      </c>
      <c r="AT62" s="3"/>
    </row>
    <row r="63" spans="1:46" ht="15" customHeight="1" x14ac:dyDescent="0.25">
      <c r="A63" s="3" t="s">
        <v>154</v>
      </c>
      <c r="B63" s="3" t="s">
        <v>138</v>
      </c>
      <c r="C63" s="54" t="s">
        <v>32</v>
      </c>
      <c r="D63" s="3">
        <v>3</v>
      </c>
      <c r="E63" s="3" t="s">
        <v>33</v>
      </c>
      <c r="F63" s="3" t="s">
        <v>84</v>
      </c>
      <c r="G63" s="3" t="s">
        <v>34</v>
      </c>
      <c r="H63" s="3" t="s">
        <v>76</v>
      </c>
      <c r="I63" s="3" t="s">
        <v>77</v>
      </c>
      <c r="J63" s="3">
        <v>1862296</v>
      </c>
      <c r="K63" s="3" t="s">
        <v>85</v>
      </c>
      <c r="L63" s="3">
        <v>3195715429</v>
      </c>
      <c r="M63" s="13">
        <v>45898</v>
      </c>
      <c r="N63" s="3" t="s">
        <v>38</v>
      </c>
      <c r="O63" s="3" t="s">
        <v>36</v>
      </c>
      <c r="P63" s="72">
        <v>0</v>
      </c>
      <c r="Q63" s="72">
        <v>0</v>
      </c>
      <c r="R63" s="72">
        <v>0</v>
      </c>
      <c r="S63" s="72">
        <v>0</v>
      </c>
      <c r="T63" s="72">
        <v>0</v>
      </c>
      <c r="U63" s="72">
        <v>0</v>
      </c>
      <c r="V63" s="72">
        <v>0</v>
      </c>
      <c r="W63" s="72">
        <v>0</v>
      </c>
      <c r="X63" s="72">
        <v>0</v>
      </c>
      <c r="Y63" s="72">
        <v>0</v>
      </c>
      <c r="Z63" s="72">
        <v>0</v>
      </c>
      <c r="AA63" s="72">
        <v>0</v>
      </c>
      <c r="AB63" s="72">
        <v>0</v>
      </c>
      <c r="AC63" s="72">
        <v>0</v>
      </c>
      <c r="AD63" s="72">
        <v>0</v>
      </c>
      <c r="AE63" s="72">
        <v>0</v>
      </c>
      <c r="AF63" s="72">
        <v>0</v>
      </c>
      <c r="AG63" s="72">
        <v>0</v>
      </c>
      <c r="AH63" s="72">
        <v>0</v>
      </c>
      <c r="AI63" s="72">
        <v>0</v>
      </c>
      <c r="AJ63" s="72">
        <v>0</v>
      </c>
      <c r="AK63" s="72">
        <v>0</v>
      </c>
      <c r="AL63" s="72">
        <v>0</v>
      </c>
      <c r="AM63" s="72">
        <v>0</v>
      </c>
      <c r="AN63" s="72">
        <v>0</v>
      </c>
      <c r="AO63" s="72">
        <v>0</v>
      </c>
      <c r="AP63" s="72">
        <v>0</v>
      </c>
      <c r="AQ63" s="72">
        <v>0</v>
      </c>
      <c r="AR63" s="72">
        <v>0</v>
      </c>
      <c r="AS63" s="73">
        <f t="shared" si="237"/>
        <v>0</v>
      </c>
      <c r="AT63" s="3"/>
    </row>
    <row r="64" spans="1:46" ht="15" customHeight="1" x14ac:dyDescent="0.25">
      <c r="A64" s="11" t="s">
        <v>154</v>
      </c>
      <c r="B64" s="11" t="s">
        <v>138</v>
      </c>
      <c r="C64" s="66" t="s">
        <v>130</v>
      </c>
      <c r="D64" s="67"/>
      <c r="E64" s="67"/>
      <c r="F64" s="67"/>
      <c r="G64" s="67"/>
      <c r="H64" s="67"/>
      <c r="I64" s="67"/>
      <c r="J64" s="11"/>
      <c r="K64" s="11"/>
      <c r="L64" s="11"/>
      <c r="M64" s="12"/>
      <c r="N64" s="11"/>
      <c r="O64" s="11" t="s">
        <v>156</v>
      </c>
      <c r="P64" s="74">
        <f>SUM(P59:P63)</f>
        <v>0</v>
      </c>
      <c r="Q64" s="74">
        <f t="shared" ref="Q64" si="238">SUM(Q59:Q63)</f>
        <v>0</v>
      </c>
      <c r="R64" s="74">
        <f t="shared" ref="R64" si="239">SUM(R59:R63)</f>
        <v>0</v>
      </c>
      <c r="S64" s="74">
        <f t="shared" ref="S64" si="240">SUM(S59:S63)</f>
        <v>0</v>
      </c>
      <c r="T64" s="74">
        <f t="shared" ref="T64" si="241">SUM(T59:T63)</f>
        <v>0</v>
      </c>
      <c r="U64" s="74">
        <f t="shared" ref="U64" si="242">SUM(U59:U63)</f>
        <v>0</v>
      </c>
      <c r="V64" s="74">
        <f t="shared" ref="V64" si="243">SUM(V59:V63)</f>
        <v>0</v>
      </c>
      <c r="W64" s="74">
        <f t="shared" ref="W64" si="244">SUM(W59:W63)</f>
        <v>0</v>
      </c>
      <c r="X64" s="74">
        <f t="shared" ref="X64" si="245">SUM(X59:X63)</f>
        <v>0</v>
      </c>
      <c r="Y64" s="74">
        <f t="shared" ref="Y64" si="246">SUM(Y59:Y63)</f>
        <v>0</v>
      </c>
      <c r="Z64" s="74">
        <f t="shared" ref="Z64" si="247">SUM(Z59:Z63)</f>
        <v>0</v>
      </c>
      <c r="AA64" s="74">
        <f t="shared" ref="AA64" si="248">SUM(AA59:AA63)</f>
        <v>0</v>
      </c>
      <c r="AB64" s="74">
        <f t="shared" ref="AB64" si="249">SUM(AB59:AB63)</f>
        <v>0</v>
      </c>
      <c r="AC64" s="74">
        <f t="shared" ref="AC64" si="250">SUM(AC59:AC63)</f>
        <v>0</v>
      </c>
      <c r="AD64" s="74">
        <f t="shared" ref="AD64" si="251">SUM(AD59:AD63)</f>
        <v>0</v>
      </c>
      <c r="AE64" s="74">
        <f t="shared" ref="AE64" si="252">SUM(AE59:AE63)</f>
        <v>0</v>
      </c>
      <c r="AF64" s="74">
        <f t="shared" ref="AF64" si="253">SUM(AF59:AF63)</f>
        <v>0</v>
      </c>
      <c r="AG64" s="74">
        <f t="shared" ref="AG64" si="254">SUM(AG59:AG63)</f>
        <v>0</v>
      </c>
      <c r="AH64" s="74">
        <f t="shared" ref="AH64" si="255">SUM(AH59:AH63)</f>
        <v>0</v>
      </c>
      <c r="AI64" s="74">
        <f t="shared" ref="AI64" si="256">SUM(AI59:AI63)</f>
        <v>0</v>
      </c>
      <c r="AJ64" s="74">
        <f t="shared" ref="AJ64" si="257">SUM(AJ59:AJ63)</f>
        <v>0</v>
      </c>
      <c r="AK64" s="74">
        <f t="shared" ref="AK64" si="258">SUM(AK59:AK63)</f>
        <v>0</v>
      </c>
      <c r="AL64" s="74">
        <f t="shared" ref="AL64" si="259">SUM(AL59:AL63)</f>
        <v>0</v>
      </c>
      <c r="AM64" s="74">
        <f t="shared" ref="AM64" si="260">SUM(AM59:AM63)</f>
        <v>0</v>
      </c>
      <c r="AN64" s="74">
        <f t="shared" ref="AN64" si="261">SUM(AN59:AN63)</f>
        <v>0</v>
      </c>
      <c r="AO64" s="74">
        <f t="shared" ref="AO64" si="262">SUM(AO59:AO63)</f>
        <v>0</v>
      </c>
      <c r="AP64" s="74">
        <f t="shared" ref="AP64" si="263">SUM(AP59:AP63)</f>
        <v>0</v>
      </c>
      <c r="AQ64" s="74">
        <f t="shared" ref="AQ64" si="264">SUM(AQ59:AQ63)</f>
        <v>0</v>
      </c>
      <c r="AR64" s="74">
        <f t="shared" ref="AR64" si="265">SUM(AR59:AR63)</f>
        <v>0</v>
      </c>
      <c r="AS64" s="74">
        <f>SUM(AS59:AS63)</f>
        <v>0</v>
      </c>
      <c r="AT64" s="11"/>
    </row>
    <row r="65" spans="1:46" ht="15" customHeight="1" x14ac:dyDescent="0.25">
      <c r="A65" s="3" t="s">
        <v>154</v>
      </c>
      <c r="B65" s="3" t="s">
        <v>138</v>
      </c>
      <c r="C65" s="54" t="s">
        <v>32</v>
      </c>
      <c r="D65" s="3">
        <v>3</v>
      </c>
      <c r="E65" s="3" t="s">
        <v>33</v>
      </c>
      <c r="F65" s="3" t="s">
        <v>86</v>
      </c>
      <c r="G65" s="3" t="s">
        <v>34</v>
      </c>
      <c r="H65" s="3" t="s">
        <v>76</v>
      </c>
      <c r="I65" s="3" t="s">
        <v>87</v>
      </c>
      <c r="J65" s="3">
        <v>2116291</v>
      </c>
      <c r="K65" s="3" t="s">
        <v>88</v>
      </c>
      <c r="L65" s="3">
        <v>3017616045</v>
      </c>
      <c r="M65" s="13">
        <v>45894</v>
      </c>
      <c r="N65" s="3" t="s">
        <v>39</v>
      </c>
      <c r="O65" s="3" t="s">
        <v>36</v>
      </c>
      <c r="P65" s="72">
        <v>0</v>
      </c>
      <c r="Q65" s="72">
        <v>0</v>
      </c>
      <c r="R65" s="72">
        <v>0</v>
      </c>
      <c r="S65" s="72">
        <v>0</v>
      </c>
      <c r="T65" s="72">
        <v>0</v>
      </c>
      <c r="U65" s="72">
        <v>0</v>
      </c>
      <c r="V65" s="72">
        <v>0</v>
      </c>
      <c r="W65" s="72">
        <v>0</v>
      </c>
      <c r="X65" s="72">
        <v>0</v>
      </c>
      <c r="Y65" s="72">
        <v>0</v>
      </c>
      <c r="Z65" s="72">
        <v>0</v>
      </c>
      <c r="AA65" s="72">
        <v>0</v>
      </c>
      <c r="AB65" s="72">
        <v>0</v>
      </c>
      <c r="AC65" s="72">
        <v>0</v>
      </c>
      <c r="AD65" s="72">
        <v>0</v>
      </c>
      <c r="AE65" s="72">
        <v>0</v>
      </c>
      <c r="AF65" s="72">
        <v>0</v>
      </c>
      <c r="AG65" s="72">
        <v>0</v>
      </c>
      <c r="AH65" s="72">
        <v>0</v>
      </c>
      <c r="AI65" s="72">
        <v>0</v>
      </c>
      <c r="AJ65" s="72">
        <v>0</v>
      </c>
      <c r="AK65" s="72">
        <v>0</v>
      </c>
      <c r="AL65" s="72">
        <v>0</v>
      </c>
      <c r="AM65" s="72">
        <v>0</v>
      </c>
      <c r="AN65" s="72">
        <v>0</v>
      </c>
      <c r="AO65" s="72">
        <v>0</v>
      </c>
      <c r="AP65" s="72">
        <v>0</v>
      </c>
      <c r="AQ65" s="72">
        <v>0</v>
      </c>
      <c r="AR65" s="72">
        <v>0</v>
      </c>
      <c r="AS65" s="73">
        <f>SUMIF(P65:AR65,3.45)</f>
        <v>0</v>
      </c>
      <c r="AT65" s="3"/>
    </row>
    <row r="66" spans="1:46" ht="15" customHeight="1" x14ac:dyDescent="0.25">
      <c r="A66" s="3" t="s">
        <v>154</v>
      </c>
      <c r="B66" s="3" t="s">
        <v>138</v>
      </c>
      <c r="C66" s="54" t="s">
        <v>32</v>
      </c>
      <c r="D66" s="3">
        <v>3</v>
      </c>
      <c r="E66" s="3" t="s">
        <v>33</v>
      </c>
      <c r="F66" s="3" t="s">
        <v>89</v>
      </c>
      <c r="G66" s="3" t="s">
        <v>34</v>
      </c>
      <c r="H66" s="3" t="s">
        <v>76</v>
      </c>
      <c r="I66" s="3" t="s">
        <v>87</v>
      </c>
      <c r="J66" s="3">
        <v>2124205</v>
      </c>
      <c r="K66" s="3" t="s">
        <v>90</v>
      </c>
      <c r="L66" s="3">
        <v>3217239673</v>
      </c>
      <c r="M66" s="13">
        <v>45917</v>
      </c>
      <c r="N66" s="3" t="s">
        <v>91</v>
      </c>
      <c r="O66" s="3" t="s">
        <v>36</v>
      </c>
      <c r="P66" s="72">
        <v>0</v>
      </c>
      <c r="Q66" s="72">
        <v>0</v>
      </c>
      <c r="R66" s="72">
        <v>0</v>
      </c>
      <c r="S66" s="72">
        <v>0</v>
      </c>
      <c r="T66" s="72">
        <v>0</v>
      </c>
      <c r="U66" s="72">
        <v>0</v>
      </c>
      <c r="V66" s="72">
        <v>0</v>
      </c>
      <c r="W66" s="72">
        <v>0</v>
      </c>
      <c r="X66" s="72">
        <v>0</v>
      </c>
      <c r="Y66" s="72">
        <v>0</v>
      </c>
      <c r="Z66" s="72">
        <v>0</v>
      </c>
      <c r="AA66" s="72">
        <v>0</v>
      </c>
      <c r="AB66" s="72">
        <v>0</v>
      </c>
      <c r="AC66" s="72">
        <v>0</v>
      </c>
      <c r="AD66" s="72">
        <v>0</v>
      </c>
      <c r="AE66" s="72">
        <v>0</v>
      </c>
      <c r="AF66" s="72">
        <v>0</v>
      </c>
      <c r="AG66" s="72">
        <v>0</v>
      </c>
      <c r="AH66" s="72">
        <v>0</v>
      </c>
      <c r="AI66" s="72">
        <v>0</v>
      </c>
      <c r="AJ66" s="72">
        <v>0</v>
      </c>
      <c r="AK66" s="72">
        <v>0</v>
      </c>
      <c r="AL66" s="72">
        <v>0</v>
      </c>
      <c r="AM66" s="72">
        <v>0</v>
      </c>
      <c r="AN66" s="72">
        <v>0</v>
      </c>
      <c r="AO66" s="72">
        <v>0</v>
      </c>
      <c r="AP66" s="72">
        <v>0</v>
      </c>
      <c r="AQ66" s="72">
        <v>0</v>
      </c>
      <c r="AR66" s="72">
        <v>0</v>
      </c>
      <c r="AS66" s="73">
        <f t="shared" ref="AS66:AS69" si="266">SUMIF(P66:AR66,3.45)</f>
        <v>0</v>
      </c>
      <c r="AT66" s="3"/>
    </row>
    <row r="67" spans="1:46" ht="15" customHeight="1" x14ac:dyDescent="0.25">
      <c r="A67" s="3" t="s">
        <v>154</v>
      </c>
      <c r="B67" s="3" t="s">
        <v>138</v>
      </c>
      <c r="C67" s="54" t="s">
        <v>32</v>
      </c>
      <c r="D67" s="3">
        <v>3</v>
      </c>
      <c r="E67" s="3" t="s">
        <v>33</v>
      </c>
      <c r="F67" s="3" t="s">
        <v>92</v>
      </c>
      <c r="G67" s="3" t="s">
        <v>34</v>
      </c>
      <c r="H67" s="3" t="s">
        <v>76</v>
      </c>
      <c r="I67" s="3" t="s">
        <v>87</v>
      </c>
      <c r="J67" s="3">
        <v>1113036406</v>
      </c>
      <c r="K67" s="3" t="s">
        <v>93</v>
      </c>
      <c r="L67" s="3">
        <v>3145950331</v>
      </c>
      <c r="M67" s="13">
        <v>45898</v>
      </c>
      <c r="N67" s="3" t="s">
        <v>35</v>
      </c>
      <c r="O67" s="3" t="s">
        <v>36</v>
      </c>
      <c r="P67" s="72">
        <v>0</v>
      </c>
      <c r="Q67" s="72">
        <v>0</v>
      </c>
      <c r="R67" s="72">
        <v>0</v>
      </c>
      <c r="S67" s="72">
        <v>0</v>
      </c>
      <c r="T67" s="72">
        <v>0</v>
      </c>
      <c r="U67" s="72">
        <v>0</v>
      </c>
      <c r="V67" s="72">
        <v>0</v>
      </c>
      <c r="W67" s="72">
        <v>0</v>
      </c>
      <c r="X67" s="72">
        <v>0</v>
      </c>
      <c r="Y67" s="72">
        <v>0</v>
      </c>
      <c r="Z67" s="72">
        <v>0</v>
      </c>
      <c r="AA67" s="72">
        <v>0</v>
      </c>
      <c r="AB67" s="72">
        <v>0</v>
      </c>
      <c r="AC67" s="72">
        <v>0</v>
      </c>
      <c r="AD67" s="72">
        <v>0</v>
      </c>
      <c r="AE67" s="72">
        <v>0</v>
      </c>
      <c r="AF67" s="72">
        <v>0</v>
      </c>
      <c r="AG67" s="72">
        <v>0</v>
      </c>
      <c r="AH67" s="72">
        <v>0</v>
      </c>
      <c r="AI67" s="72">
        <v>0</v>
      </c>
      <c r="AJ67" s="72">
        <v>0</v>
      </c>
      <c r="AK67" s="72">
        <v>0</v>
      </c>
      <c r="AL67" s="72">
        <v>0</v>
      </c>
      <c r="AM67" s="72">
        <v>0</v>
      </c>
      <c r="AN67" s="72">
        <v>0</v>
      </c>
      <c r="AO67" s="72">
        <v>0</v>
      </c>
      <c r="AP67" s="72">
        <v>0</v>
      </c>
      <c r="AQ67" s="72">
        <v>0</v>
      </c>
      <c r="AR67" s="72">
        <v>0</v>
      </c>
      <c r="AS67" s="73">
        <f t="shared" si="266"/>
        <v>0</v>
      </c>
      <c r="AT67" s="3"/>
    </row>
    <row r="68" spans="1:46" ht="15" customHeight="1" x14ac:dyDescent="0.25">
      <c r="A68" s="3" t="s">
        <v>154</v>
      </c>
      <c r="B68" s="3" t="s">
        <v>138</v>
      </c>
      <c r="C68" s="54" t="s">
        <v>32</v>
      </c>
      <c r="D68" s="3">
        <v>3</v>
      </c>
      <c r="E68" s="3" t="s">
        <v>33</v>
      </c>
      <c r="F68" s="3" t="s">
        <v>94</v>
      </c>
      <c r="G68" s="3" t="s">
        <v>34</v>
      </c>
      <c r="H68" s="3" t="s">
        <v>76</v>
      </c>
      <c r="I68" s="3" t="s">
        <v>87</v>
      </c>
      <c r="J68" s="3">
        <v>1879815</v>
      </c>
      <c r="K68" s="3" t="s">
        <v>95</v>
      </c>
      <c r="L68" s="3">
        <v>3222889204</v>
      </c>
      <c r="M68" s="13">
        <v>45894</v>
      </c>
      <c r="N68" s="3" t="s">
        <v>38</v>
      </c>
      <c r="O68" s="3" t="s">
        <v>36</v>
      </c>
      <c r="P68" s="72">
        <v>0</v>
      </c>
      <c r="Q68" s="72">
        <v>0</v>
      </c>
      <c r="R68" s="72">
        <v>0</v>
      </c>
      <c r="S68" s="72">
        <v>0</v>
      </c>
      <c r="T68" s="72">
        <v>0</v>
      </c>
      <c r="U68" s="72">
        <v>0</v>
      </c>
      <c r="V68" s="72">
        <v>0</v>
      </c>
      <c r="W68" s="72">
        <v>0</v>
      </c>
      <c r="X68" s="72">
        <v>0</v>
      </c>
      <c r="Y68" s="72">
        <v>0</v>
      </c>
      <c r="Z68" s="72">
        <v>0</v>
      </c>
      <c r="AA68" s="72">
        <v>0</v>
      </c>
      <c r="AB68" s="72">
        <v>0</v>
      </c>
      <c r="AC68" s="72">
        <v>0</v>
      </c>
      <c r="AD68" s="72">
        <v>0</v>
      </c>
      <c r="AE68" s="72">
        <v>0</v>
      </c>
      <c r="AF68" s="72">
        <v>0</v>
      </c>
      <c r="AG68" s="72">
        <v>0</v>
      </c>
      <c r="AH68" s="72">
        <v>0</v>
      </c>
      <c r="AI68" s="72">
        <v>0</v>
      </c>
      <c r="AJ68" s="72">
        <v>0</v>
      </c>
      <c r="AK68" s="72">
        <v>0</v>
      </c>
      <c r="AL68" s="72">
        <v>0</v>
      </c>
      <c r="AM68" s="72">
        <v>0</v>
      </c>
      <c r="AN68" s="72">
        <v>0</v>
      </c>
      <c r="AO68" s="72">
        <v>0</v>
      </c>
      <c r="AP68" s="72">
        <v>0</v>
      </c>
      <c r="AQ68" s="72">
        <v>0</v>
      </c>
      <c r="AR68" s="72">
        <v>0</v>
      </c>
      <c r="AS68" s="73">
        <f t="shared" si="266"/>
        <v>0</v>
      </c>
      <c r="AT68" s="3"/>
    </row>
    <row r="69" spans="1:46" ht="15" customHeight="1" x14ac:dyDescent="0.25">
      <c r="A69" s="3" t="s">
        <v>154</v>
      </c>
      <c r="B69" s="3" t="s">
        <v>138</v>
      </c>
      <c r="C69" s="54" t="s">
        <v>32</v>
      </c>
      <c r="D69" s="3">
        <v>3</v>
      </c>
      <c r="E69" s="3" t="s">
        <v>33</v>
      </c>
      <c r="F69" s="3" t="s">
        <v>96</v>
      </c>
      <c r="G69" s="3" t="s">
        <v>34</v>
      </c>
      <c r="H69" s="3" t="s">
        <v>76</v>
      </c>
      <c r="I69" s="3" t="s">
        <v>87</v>
      </c>
      <c r="J69" s="3">
        <v>1862295</v>
      </c>
      <c r="K69" s="3" t="s">
        <v>85</v>
      </c>
      <c r="L69" s="3">
        <v>3195715429</v>
      </c>
      <c r="M69" s="13">
        <v>45884</v>
      </c>
      <c r="N69" s="3" t="s">
        <v>39</v>
      </c>
      <c r="O69" s="3" t="s">
        <v>36</v>
      </c>
      <c r="P69" s="72">
        <v>0</v>
      </c>
      <c r="Q69" s="72">
        <v>0</v>
      </c>
      <c r="R69" s="72">
        <v>0</v>
      </c>
      <c r="S69" s="72">
        <v>0</v>
      </c>
      <c r="T69" s="72">
        <v>0</v>
      </c>
      <c r="U69" s="72">
        <v>0</v>
      </c>
      <c r="V69" s="72">
        <v>0</v>
      </c>
      <c r="W69" s="72">
        <v>0</v>
      </c>
      <c r="X69" s="72">
        <v>0</v>
      </c>
      <c r="Y69" s="72">
        <v>0</v>
      </c>
      <c r="Z69" s="72">
        <v>0</v>
      </c>
      <c r="AA69" s="72">
        <v>0</v>
      </c>
      <c r="AB69" s="72">
        <v>0</v>
      </c>
      <c r="AC69" s="72">
        <v>0</v>
      </c>
      <c r="AD69" s="72">
        <v>0</v>
      </c>
      <c r="AE69" s="72">
        <v>0</v>
      </c>
      <c r="AF69" s="72">
        <v>0</v>
      </c>
      <c r="AG69" s="72">
        <v>0</v>
      </c>
      <c r="AH69" s="72">
        <v>0</v>
      </c>
      <c r="AI69" s="72">
        <v>0</v>
      </c>
      <c r="AJ69" s="72">
        <v>0</v>
      </c>
      <c r="AK69" s="72">
        <v>0</v>
      </c>
      <c r="AL69" s="72">
        <v>0</v>
      </c>
      <c r="AM69" s="72">
        <v>0</v>
      </c>
      <c r="AN69" s="72">
        <v>0</v>
      </c>
      <c r="AO69" s="72">
        <v>0</v>
      </c>
      <c r="AP69" s="72">
        <v>0</v>
      </c>
      <c r="AQ69" s="72">
        <v>0</v>
      </c>
      <c r="AR69" s="72">
        <v>0</v>
      </c>
      <c r="AS69" s="73">
        <f t="shared" si="266"/>
        <v>0</v>
      </c>
      <c r="AT69" s="3"/>
    </row>
    <row r="70" spans="1:46" ht="15" customHeight="1" x14ac:dyDescent="0.25">
      <c r="A70" s="11" t="s">
        <v>154</v>
      </c>
      <c r="B70" s="11" t="s">
        <v>138</v>
      </c>
      <c r="C70" s="66" t="s">
        <v>131</v>
      </c>
      <c r="D70" s="67"/>
      <c r="E70" s="67"/>
      <c r="F70" s="67"/>
      <c r="G70" s="67"/>
      <c r="H70" s="67"/>
      <c r="I70" s="67"/>
      <c r="J70" s="11"/>
      <c r="K70" s="11"/>
      <c r="L70" s="11"/>
      <c r="M70" s="12"/>
      <c r="N70" s="11"/>
      <c r="O70" s="11" t="s">
        <v>156</v>
      </c>
      <c r="P70" s="74">
        <f>SUM(P65:P69)</f>
        <v>0</v>
      </c>
      <c r="Q70" s="74">
        <f t="shared" ref="Q70" si="267">SUM(Q65:Q69)</f>
        <v>0</v>
      </c>
      <c r="R70" s="74">
        <f t="shared" ref="R70" si="268">SUM(R65:R69)</f>
        <v>0</v>
      </c>
      <c r="S70" s="74">
        <f t="shared" ref="S70" si="269">SUM(S65:S69)</f>
        <v>0</v>
      </c>
      <c r="T70" s="74">
        <f t="shared" ref="T70" si="270">SUM(T65:T69)</f>
        <v>0</v>
      </c>
      <c r="U70" s="74">
        <f t="shared" ref="U70" si="271">SUM(U65:U69)</f>
        <v>0</v>
      </c>
      <c r="V70" s="74">
        <f t="shared" ref="V70" si="272">SUM(V65:V69)</f>
        <v>0</v>
      </c>
      <c r="W70" s="74">
        <f t="shared" ref="W70" si="273">SUM(W65:W69)</f>
        <v>0</v>
      </c>
      <c r="X70" s="74">
        <f t="shared" ref="X70" si="274">SUM(X65:X69)</f>
        <v>0</v>
      </c>
      <c r="Y70" s="74">
        <f t="shared" ref="Y70" si="275">SUM(Y65:Y69)</f>
        <v>0</v>
      </c>
      <c r="Z70" s="74">
        <f t="shared" ref="Z70" si="276">SUM(Z65:Z69)</f>
        <v>0</v>
      </c>
      <c r="AA70" s="74">
        <f t="shared" ref="AA70" si="277">SUM(AA65:AA69)</f>
        <v>0</v>
      </c>
      <c r="AB70" s="74">
        <f t="shared" ref="AB70" si="278">SUM(AB65:AB69)</f>
        <v>0</v>
      </c>
      <c r="AC70" s="74">
        <f t="shared" ref="AC70" si="279">SUM(AC65:AC69)</f>
        <v>0</v>
      </c>
      <c r="AD70" s="74">
        <f t="shared" ref="AD70" si="280">SUM(AD65:AD69)</f>
        <v>0</v>
      </c>
      <c r="AE70" s="74">
        <f t="shared" ref="AE70" si="281">SUM(AE65:AE69)</f>
        <v>0</v>
      </c>
      <c r="AF70" s="74">
        <f t="shared" ref="AF70" si="282">SUM(AF65:AF69)</f>
        <v>0</v>
      </c>
      <c r="AG70" s="74">
        <f t="shared" ref="AG70" si="283">SUM(AG65:AG69)</f>
        <v>0</v>
      </c>
      <c r="AH70" s="74">
        <f t="shared" ref="AH70" si="284">SUM(AH65:AH69)</f>
        <v>0</v>
      </c>
      <c r="AI70" s="74">
        <f t="shared" ref="AI70" si="285">SUM(AI65:AI69)</f>
        <v>0</v>
      </c>
      <c r="AJ70" s="74">
        <f t="shared" ref="AJ70" si="286">SUM(AJ65:AJ69)</f>
        <v>0</v>
      </c>
      <c r="AK70" s="74">
        <f t="shared" ref="AK70" si="287">SUM(AK65:AK69)</f>
        <v>0</v>
      </c>
      <c r="AL70" s="74">
        <f t="shared" ref="AL70" si="288">SUM(AL65:AL69)</f>
        <v>0</v>
      </c>
      <c r="AM70" s="74">
        <f t="shared" ref="AM70" si="289">SUM(AM65:AM69)</f>
        <v>0</v>
      </c>
      <c r="AN70" s="74">
        <f t="shared" ref="AN70" si="290">SUM(AN65:AN69)</f>
        <v>0</v>
      </c>
      <c r="AO70" s="74">
        <f t="shared" ref="AO70" si="291">SUM(AO65:AO69)</f>
        <v>0</v>
      </c>
      <c r="AP70" s="74">
        <f t="shared" ref="AP70" si="292">SUM(AP65:AP69)</f>
        <v>0</v>
      </c>
      <c r="AQ70" s="74">
        <f t="shared" ref="AQ70" si="293">SUM(AQ65:AQ69)</f>
        <v>0</v>
      </c>
      <c r="AR70" s="74">
        <f t="shared" ref="AR70" si="294">SUM(AR65:AR69)</f>
        <v>0</v>
      </c>
      <c r="AS70" s="74">
        <f>SUM(AS65:AS69)</f>
        <v>0</v>
      </c>
      <c r="AT70" s="11"/>
    </row>
    <row r="71" spans="1:46" ht="15" customHeight="1" x14ac:dyDescent="0.25">
      <c r="A71" s="3" t="s">
        <v>154</v>
      </c>
      <c r="B71" s="3" t="s">
        <v>138</v>
      </c>
      <c r="C71" s="54" t="s">
        <v>32</v>
      </c>
      <c r="D71" s="3">
        <v>3</v>
      </c>
      <c r="E71" s="3" t="s">
        <v>33</v>
      </c>
      <c r="F71" s="3" t="s">
        <v>97</v>
      </c>
      <c r="G71" s="3" t="s">
        <v>34</v>
      </c>
      <c r="H71" s="3" t="s">
        <v>76</v>
      </c>
      <c r="I71" s="3" t="s">
        <v>98</v>
      </c>
      <c r="J71" s="3">
        <v>2294322</v>
      </c>
      <c r="K71" s="3" t="s">
        <v>99</v>
      </c>
      <c r="L71" s="3">
        <v>3122010235</v>
      </c>
      <c r="M71" s="13">
        <v>45897</v>
      </c>
      <c r="N71" s="3" t="s">
        <v>42</v>
      </c>
      <c r="O71" s="3" t="s">
        <v>36</v>
      </c>
      <c r="P71" s="72">
        <v>0</v>
      </c>
      <c r="Q71" s="72">
        <v>0</v>
      </c>
      <c r="R71" s="72">
        <v>0</v>
      </c>
      <c r="S71" s="72">
        <v>0</v>
      </c>
      <c r="T71" s="72">
        <v>0</v>
      </c>
      <c r="U71" s="72">
        <v>0</v>
      </c>
      <c r="V71" s="72">
        <v>0</v>
      </c>
      <c r="W71" s="72">
        <v>0</v>
      </c>
      <c r="X71" s="72">
        <v>0</v>
      </c>
      <c r="Y71" s="72">
        <v>0</v>
      </c>
      <c r="Z71" s="72">
        <v>0</v>
      </c>
      <c r="AA71" s="72">
        <v>0</v>
      </c>
      <c r="AB71" s="72">
        <v>0</v>
      </c>
      <c r="AC71" s="72">
        <v>0</v>
      </c>
      <c r="AD71" s="72">
        <v>0</v>
      </c>
      <c r="AE71" s="72">
        <v>0</v>
      </c>
      <c r="AF71" s="72">
        <v>0</v>
      </c>
      <c r="AG71" s="72">
        <v>0</v>
      </c>
      <c r="AH71" s="72">
        <v>0</v>
      </c>
      <c r="AI71" s="72">
        <v>0</v>
      </c>
      <c r="AJ71" s="72">
        <v>0</v>
      </c>
      <c r="AK71" s="72">
        <v>0</v>
      </c>
      <c r="AL71" s="72">
        <v>0</v>
      </c>
      <c r="AM71" s="72">
        <v>0</v>
      </c>
      <c r="AN71" s="72">
        <v>0</v>
      </c>
      <c r="AO71" s="72">
        <v>0</v>
      </c>
      <c r="AP71" s="72">
        <v>0</v>
      </c>
      <c r="AQ71" s="72">
        <v>0</v>
      </c>
      <c r="AR71" s="72">
        <v>0</v>
      </c>
      <c r="AS71" s="73">
        <f>SUMIF(P71:AR71,3.45)</f>
        <v>0</v>
      </c>
      <c r="AT71" s="3"/>
    </row>
    <row r="72" spans="1:46" ht="15" customHeight="1" x14ac:dyDescent="0.25">
      <c r="A72" s="3" t="s">
        <v>154</v>
      </c>
      <c r="B72" s="3" t="s">
        <v>138</v>
      </c>
      <c r="C72" s="54" t="s">
        <v>32</v>
      </c>
      <c r="D72" s="3">
        <v>3</v>
      </c>
      <c r="E72" s="3" t="s">
        <v>33</v>
      </c>
      <c r="F72" s="3" t="s">
        <v>100</v>
      </c>
      <c r="G72" s="3" t="s">
        <v>34</v>
      </c>
      <c r="H72" s="3" t="s">
        <v>76</v>
      </c>
      <c r="I72" s="3" t="s">
        <v>98</v>
      </c>
      <c r="J72" s="3">
        <v>2289441</v>
      </c>
      <c r="K72" s="3" t="s">
        <v>101</v>
      </c>
      <c r="L72" s="3">
        <v>3102103741</v>
      </c>
      <c r="M72" s="13">
        <v>45894</v>
      </c>
      <c r="N72" s="3" t="s">
        <v>37</v>
      </c>
      <c r="O72" s="3" t="s">
        <v>36</v>
      </c>
      <c r="P72" s="72">
        <v>0</v>
      </c>
      <c r="Q72" s="72">
        <v>0</v>
      </c>
      <c r="R72" s="72">
        <v>0</v>
      </c>
      <c r="S72" s="72">
        <v>0</v>
      </c>
      <c r="T72" s="72">
        <v>0</v>
      </c>
      <c r="U72" s="72">
        <v>0</v>
      </c>
      <c r="V72" s="72">
        <v>0</v>
      </c>
      <c r="W72" s="72">
        <v>0</v>
      </c>
      <c r="X72" s="72">
        <v>0</v>
      </c>
      <c r="Y72" s="72">
        <v>0</v>
      </c>
      <c r="Z72" s="72">
        <v>0</v>
      </c>
      <c r="AA72" s="72">
        <v>0</v>
      </c>
      <c r="AB72" s="72">
        <v>0</v>
      </c>
      <c r="AC72" s="72">
        <v>0</v>
      </c>
      <c r="AD72" s="72">
        <v>0</v>
      </c>
      <c r="AE72" s="72">
        <v>0</v>
      </c>
      <c r="AF72" s="72">
        <v>0</v>
      </c>
      <c r="AG72" s="72">
        <v>0</v>
      </c>
      <c r="AH72" s="72">
        <v>0</v>
      </c>
      <c r="AI72" s="72">
        <v>0</v>
      </c>
      <c r="AJ72" s="72">
        <v>0</v>
      </c>
      <c r="AK72" s="72">
        <v>0</v>
      </c>
      <c r="AL72" s="72">
        <v>0</v>
      </c>
      <c r="AM72" s="72">
        <v>0</v>
      </c>
      <c r="AN72" s="72">
        <v>0</v>
      </c>
      <c r="AO72" s="72">
        <v>0</v>
      </c>
      <c r="AP72" s="72">
        <v>0</v>
      </c>
      <c r="AQ72" s="72">
        <v>0</v>
      </c>
      <c r="AR72" s="72">
        <v>0</v>
      </c>
      <c r="AS72" s="73">
        <f t="shared" ref="AS72:AS75" si="295">SUMIF(P72:AR72,3.45)</f>
        <v>0</v>
      </c>
      <c r="AT72" s="3"/>
    </row>
    <row r="73" spans="1:46" ht="15" customHeight="1" x14ac:dyDescent="0.25">
      <c r="A73" s="3" t="s">
        <v>154</v>
      </c>
      <c r="B73" s="3" t="s">
        <v>138</v>
      </c>
      <c r="C73" s="54" t="s">
        <v>32</v>
      </c>
      <c r="D73" s="3">
        <v>3</v>
      </c>
      <c r="E73" s="3" t="s">
        <v>33</v>
      </c>
      <c r="F73" s="3" t="s">
        <v>102</v>
      </c>
      <c r="G73" s="3" t="s">
        <v>34</v>
      </c>
      <c r="H73" s="3" t="s">
        <v>76</v>
      </c>
      <c r="I73" s="3" t="s">
        <v>98</v>
      </c>
      <c r="J73" s="3">
        <v>1869928</v>
      </c>
      <c r="K73" s="3" t="s">
        <v>103</v>
      </c>
      <c r="L73" s="3">
        <v>3016666239</v>
      </c>
      <c r="M73" s="13">
        <v>45906</v>
      </c>
      <c r="N73" s="3" t="s">
        <v>35</v>
      </c>
      <c r="O73" s="3" t="s">
        <v>36</v>
      </c>
      <c r="P73" s="72">
        <v>0</v>
      </c>
      <c r="Q73" s="72">
        <v>0</v>
      </c>
      <c r="R73" s="72">
        <v>0</v>
      </c>
      <c r="S73" s="72">
        <v>0</v>
      </c>
      <c r="T73" s="72">
        <v>0</v>
      </c>
      <c r="U73" s="72">
        <v>0</v>
      </c>
      <c r="V73" s="72">
        <v>0</v>
      </c>
      <c r="W73" s="72">
        <v>0</v>
      </c>
      <c r="X73" s="72">
        <v>0</v>
      </c>
      <c r="Y73" s="72">
        <v>0</v>
      </c>
      <c r="Z73" s="72">
        <v>0</v>
      </c>
      <c r="AA73" s="72">
        <v>0</v>
      </c>
      <c r="AB73" s="72">
        <v>0</v>
      </c>
      <c r="AC73" s="72">
        <v>0</v>
      </c>
      <c r="AD73" s="72">
        <v>0</v>
      </c>
      <c r="AE73" s="72">
        <v>0</v>
      </c>
      <c r="AF73" s="72">
        <v>0</v>
      </c>
      <c r="AG73" s="72">
        <v>0</v>
      </c>
      <c r="AH73" s="72">
        <v>0</v>
      </c>
      <c r="AI73" s="72">
        <v>0</v>
      </c>
      <c r="AJ73" s="72">
        <v>0</v>
      </c>
      <c r="AK73" s="72">
        <v>0</v>
      </c>
      <c r="AL73" s="72">
        <v>0</v>
      </c>
      <c r="AM73" s="72">
        <v>0</v>
      </c>
      <c r="AN73" s="72">
        <v>0</v>
      </c>
      <c r="AO73" s="72">
        <v>0</v>
      </c>
      <c r="AP73" s="72">
        <v>0</v>
      </c>
      <c r="AQ73" s="72">
        <v>0</v>
      </c>
      <c r="AR73" s="72">
        <v>0</v>
      </c>
      <c r="AS73" s="73">
        <f t="shared" si="295"/>
        <v>0</v>
      </c>
      <c r="AT73" s="3"/>
    </row>
    <row r="74" spans="1:46" ht="15" customHeight="1" x14ac:dyDescent="0.25">
      <c r="A74" s="3" t="s">
        <v>154</v>
      </c>
      <c r="B74" s="3" t="s">
        <v>138</v>
      </c>
      <c r="C74" s="54" t="s">
        <v>32</v>
      </c>
      <c r="D74" s="3">
        <v>3</v>
      </c>
      <c r="E74" s="3" t="s">
        <v>33</v>
      </c>
      <c r="F74" s="3" t="s">
        <v>104</v>
      </c>
      <c r="G74" s="3" t="s">
        <v>34</v>
      </c>
      <c r="H74" s="3" t="s">
        <v>76</v>
      </c>
      <c r="I74" s="3" t="s">
        <v>98</v>
      </c>
      <c r="J74" s="3">
        <v>2160759</v>
      </c>
      <c r="K74" s="3" t="s">
        <v>105</v>
      </c>
      <c r="L74" s="3">
        <v>3202279425</v>
      </c>
      <c r="M74" s="13">
        <v>45895</v>
      </c>
      <c r="N74" s="3" t="s">
        <v>40</v>
      </c>
      <c r="O74" s="3" t="s">
        <v>36</v>
      </c>
      <c r="P74" s="72">
        <v>0</v>
      </c>
      <c r="Q74" s="72">
        <v>0</v>
      </c>
      <c r="R74" s="72">
        <v>0</v>
      </c>
      <c r="S74" s="72">
        <v>0</v>
      </c>
      <c r="T74" s="72">
        <v>0</v>
      </c>
      <c r="U74" s="72">
        <v>0</v>
      </c>
      <c r="V74" s="72">
        <v>0</v>
      </c>
      <c r="W74" s="72">
        <v>0</v>
      </c>
      <c r="X74" s="72">
        <v>0</v>
      </c>
      <c r="Y74" s="72">
        <v>0</v>
      </c>
      <c r="Z74" s="72">
        <v>0</v>
      </c>
      <c r="AA74" s="72">
        <v>0</v>
      </c>
      <c r="AB74" s="72">
        <v>0</v>
      </c>
      <c r="AC74" s="72">
        <v>0</v>
      </c>
      <c r="AD74" s="72">
        <v>0</v>
      </c>
      <c r="AE74" s="72">
        <v>0</v>
      </c>
      <c r="AF74" s="72">
        <v>0</v>
      </c>
      <c r="AG74" s="72">
        <v>0</v>
      </c>
      <c r="AH74" s="72">
        <v>0</v>
      </c>
      <c r="AI74" s="72">
        <v>0</v>
      </c>
      <c r="AJ74" s="72">
        <v>0</v>
      </c>
      <c r="AK74" s="72">
        <v>0</v>
      </c>
      <c r="AL74" s="72">
        <v>0</v>
      </c>
      <c r="AM74" s="72">
        <v>0</v>
      </c>
      <c r="AN74" s="72">
        <v>0</v>
      </c>
      <c r="AO74" s="72">
        <v>0</v>
      </c>
      <c r="AP74" s="72">
        <v>0</v>
      </c>
      <c r="AQ74" s="72">
        <v>0</v>
      </c>
      <c r="AR74" s="72">
        <v>0</v>
      </c>
      <c r="AS74" s="73">
        <f t="shared" si="295"/>
        <v>0</v>
      </c>
      <c r="AT74" s="3"/>
    </row>
    <row r="75" spans="1:46" ht="15" customHeight="1" x14ac:dyDescent="0.25">
      <c r="A75" s="3" t="s">
        <v>154</v>
      </c>
      <c r="B75" s="3" t="s">
        <v>138</v>
      </c>
      <c r="C75" s="54" t="s">
        <v>32</v>
      </c>
      <c r="D75" s="3">
        <v>3</v>
      </c>
      <c r="E75" s="3" t="s">
        <v>33</v>
      </c>
      <c r="F75" s="3" t="s">
        <v>106</v>
      </c>
      <c r="G75" s="3" t="s">
        <v>34</v>
      </c>
      <c r="H75" s="3" t="s">
        <v>76</v>
      </c>
      <c r="I75" s="3" t="s">
        <v>98</v>
      </c>
      <c r="J75" s="3">
        <v>2052224</v>
      </c>
      <c r="K75" s="3" t="s">
        <v>107</v>
      </c>
      <c r="L75" s="3">
        <v>3102103741</v>
      </c>
      <c r="M75" s="13">
        <v>45897</v>
      </c>
      <c r="N75" s="3" t="s">
        <v>91</v>
      </c>
      <c r="O75" s="3" t="s">
        <v>36</v>
      </c>
      <c r="P75" s="72">
        <v>0</v>
      </c>
      <c r="Q75" s="72">
        <v>0</v>
      </c>
      <c r="R75" s="72">
        <v>0</v>
      </c>
      <c r="S75" s="72">
        <v>0</v>
      </c>
      <c r="T75" s="72">
        <v>0</v>
      </c>
      <c r="U75" s="72">
        <v>0</v>
      </c>
      <c r="V75" s="72">
        <v>0</v>
      </c>
      <c r="W75" s="72">
        <v>0</v>
      </c>
      <c r="X75" s="72">
        <v>0</v>
      </c>
      <c r="Y75" s="72">
        <v>0</v>
      </c>
      <c r="Z75" s="72">
        <v>0</v>
      </c>
      <c r="AA75" s="72">
        <v>0</v>
      </c>
      <c r="AB75" s="72">
        <v>0</v>
      </c>
      <c r="AC75" s="72">
        <v>0</v>
      </c>
      <c r="AD75" s="72">
        <v>0</v>
      </c>
      <c r="AE75" s="72">
        <v>0</v>
      </c>
      <c r="AF75" s="72">
        <v>0</v>
      </c>
      <c r="AG75" s="72">
        <v>0</v>
      </c>
      <c r="AH75" s="72">
        <v>0</v>
      </c>
      <c r="AI75" s="72">
        <v>0</v>
      </c>
      <c r="AJ75" s="72">
        <v>0</v>
      </c>
      <c r="AK75" s="72">
        <v>0</v>
      </c>
      <c r="AL75" s="72">
        <v>0</v>
      </c>
      <c r="AM75" s="72">
        <v>0</v>
      </c>
      <c r="AN75" s="72">
        <v>0</v>
      </c>
      <c r="AO75" s="72">
        <v>0</v>
      </c>
      <c r="AP75" s="72">
        <v>0</v>
      </c>
      <c r="AQ75" s="72">
        <v>0</v>
      </c>
      <c r="AR75" s="72">
        <v>0</v>
      </c>
      <c r="AS75" s="73">
        <f t="shared" si="295"/>
        <v>0</v>
      </c>
      <c r="AT75" s="3"/>
    </row>
    <row r="76" spans="1:46" x14ac:dyDescent="0.25">
      <c r="A76" s="11" t="s">
        <v>154</v>
      </c>
      <c r="B76" s="11" t="s">
        <v>138</v>
      </c>
      <c r="C76" s="66" t="s">
        <v>132</v>
      </c>
      <c r="D76" s="67"/>
      <c r="E76" s="67"/>
      <c r="F76" s="67"/>
      <c r="G76" s="67"/>
      <c r="H76" s="67"/>
      <c r="I76" s="67"/>
      <c r="J76" s="11"/>
      <c r="K76" s="11"/>
      <c r="L76" s="11"/>
      <c r="M76" s="12"/>
      <c r="N76" s="11"/>
      <c r="O76" s="11" t="s">
        <v>156</v>
      </c>
      <c r="P76" s="74">
        <f>SUM(P71:P75)</f>
        <v>0</v>
      </c>
      <c r="Q76" s="74">
        <f t="shared" ref="Q76" si="296">SUM(Q71:Q75)</f>
        <v>0</v>
      </c>
      <c r="R76" s="74">
        <f t="shared" ref="R76" si="297">SUM(R71:R75)</f>
        <v>0</v>
      </c>
      <c r="S76" s="74">
        <f t="shared" ref="S76" si="298">SUM(S71:S75)</f>
        <v>0</v>
      </c>
      <c r="T76" s="74">
        <f t="shared" ref="T76" si="299">SUM(T71:T75)</f>
        <v>0</v>
      </c>
      <c r="U76" s="74">
        <f t="shared" ref="U76" si="300">SUM(U71:U75)</f>
        <v>0</v>
      </c>
      <c r="V76" s="74">
        <f t="shared" ref="V76" si="301">SUM(V71:V75)</f>
        <v>0</v>
      </c>
      <c r="W76" s="74">
        <f t="shared" ref="W76" si="302">SUM(W71:W75)</f>
        <v>0</v>
      </c>
      <c r="X76" s="74">
        <f t="shared" ref="X76" si="303">SUM(X71:X75)</f>
        <v>0</v>
      </c>
      <c r="Y76" s="74">
        <f t="shared" ref="Y76" si="304">SUM(Y71:Y75)</f>
        <v>0</v>
      </c>
      <c r="Z76" s="74">
        <f t="shared" ref="Z76" si="305">SUM(Z71:Z75)</f>
        <v>0</v>
      </c>
      <c r="AA76" s="74">
        <f t="shared" ref="AA76" si="306">SUM(AA71:AA75)</f>
        <v>0</v>
      </c>
      <c r="AB76" s="74">
        <f t="shared" ref="AB76" si="307">SUM(AB71:AB75)</f>
        <v>0</v>
      </c>
      <c r="AC76" s="74">
        <f t="shared" ref="AC76" si="308">SUM(AC71:AC75)</f>
        <v>0</v>
      </c>
      <c r="AD76" s="74">
        <f t="shared" ref="AD76" si="309">SUM(AD71:AD75)</f>
        <v>0</v>
      </c>
      <c r="AE76" s="74">
        <f t="shared" ref="AE76" si="310">SUM(AE71:AE75)</f>
        <v>0</v>
      </c>
      <c r="AF76" s="74">
        <f t="shared" ref="AF76" si="311">SUM(AF71:AF75)</f>
        <v>0</v>
      </c>
      <c r="AG76" s="74">
        <f t="shared" ref="AG76" si="312">SUM(AG71:AG75)</f>
        <v>0</v>
      </c>
      <c r="AH76" s="74">
        <f t="shared" ref="AH76" si="313">SUM(AH71:AH75)</f>
        <v>0</v>
      </c>
      <c r="AI76" s="74">
        <f t="shared" ref="AI76" si="314">SUM(AI71:AI75)</f>
        <v>0</v>
      </c>
      <c r="AJ76" s="74">
        <f t="shared" ref="AJ76" si="315">SUM(AJ71:AJ75)</f>
        <v>0</v>
      </c>
      <c r="AK76" s="74">
        <f t="shared" ref="AK76" si="316">SUM(AK71:AK75)</f>
        <v>0</v>
      </c>
      <c r="AL76" s="74">
        <f t="shared" ref="AL76" si="317">SUM(AL71:AL75)</f>
        <v>0</v>
      </c>
      <c r="AM76" s="74">
        <f t="shared" ref="AM76" si="318">SUM(AM71:AM75)</f>
        <v>0</v>
      </c>
      <c r="AN76" s="74">
        <f t="shared" ref="AN76" si="319">SUM(AN71:AN75)</f>
        <v>0</v>
      </c>
      <c r="AO76" s="74">
        <f t="shared" ref="AO76" si="320">SUM(AO71:AO75)</f>
        <v>0</v>
      </c>
      <c r="AP76" s="74">
        <f t="shared" ref="AP76" si="321">SUM(AP71:AP75)</f>
        <v>0</v>
      </c>
      <c r="AQ76" s="74">
        <f t="shared" ref="AQ76" si="322">SUM(AQ71:AQ75)</f>
        <v>0</v>
      </c>
      <c r="AR76" s="74">
        <f t="shared" ref="AR76" si="323">SUM(AR71:AR75)</f>
        <v>0</v>
      </c>
      <c r="AS76" s="74">
        <f>SUM(AS71:AS75)</f>
        <v>0</v>
      </c>
      <c r="AT76" s="11"/>
    </row>
    <row r="77" spans="1:46" ht="15" customHeight="1" x14ac:dyDescent="0.25">
      <c r="A77" s="55" t="s">
        <v>154</v>
      </c>
      <c r="B77" s="55" t="s">
        <v>138</v>
      </c>
      <c r="C77" s="40"/>
      <c r="D77" s="40"/>
      <c r="E77" s="40"/>
      <c r="F77" s="40"/>
      <c r="G77" s="40"/>
      <c r="H77" s="40"/>
      <c r="I77" s="40"/>
      <c r="J77" s="40"/>
      <c r="K77" s="40"/>
      <c r="L77" s="40"/>
      <c r="M77" s="40"/>
      <c r="N77" s="40"/>
      <c r="O77" s="9" t="s">
        <v>46</v>
      </c>
      <c r="P77" s="75">
        <f t="shared" ref="P77:AS77" si="324">SUM(P64,P70,P76)</f>
        <v>0</v>
      </c>
      <c r="Q77" s="75">
        <f t="shared" si="324"/>
        <v>0</v>
      </c>
      <c r="R77" s="75">
        <f t="shared" si="324"/>
        <v>0</v>
      </c>
      <c r="S77" s="75">
        <f t="shared" si="324"/>
        <v>0</v>
      </c>
      <c r="T77" s="75">
        <f t="shared" si="324"/>
        <v>0</v>
      </c>
      <c r="U77" s="75">
        <f t="shared" si="324"/>
        <v>0</v>
      </c>
      <c r="V77" s="75">
        <f t="shared" si="324"/>
        <v>0</v>
      </c>
      <c r="W77" s="75">
        <f t="shared" si="324"/>
        <v>0</v>
      </c>
      <c r="X77" s="75">
        <f t="shared" si="324"/>
        <v>0</v>
      </c>
      <c r="Y77" s="75">
        <f t="shared" si="324"/>
        <v>0</v>
      </c>
      <c r="Z77" s="75">
        <f t="shared" si="324"/>
        <v>0</v>
      </c>
      <c r="AA77" s="75">
        <f t="shared" si="324"/>
        <v>0</v>
      </c>
      <c r="AB77" s="75">
        <f t="shared" si="324"/>
        <v>0</v>
      </c>
      <c r="AC77" s="75">
        <f t="shared" si="324"/>
        <v>0</v>
      </c>
      <c r="AD77" s="75">
        <f t="shared" si="324"/>
        <v>0</v>
      </c>
      <c r="AE77" s="75">
        <f t="shared" si="324"/>
        <v>0</v>
      </c>
      <c r="AF77" s="75">
        <f t="shared" si="324"/>
        <v>0</v>
      </c>
      <c r="AG77" s="75">
        <f t="shared" si="324"/>
        <v>0</v>
      </c>
      <c r="AH77" s="75">
        <f t="shared" si="324"/>
        <v>0</v>
      </c>
      <c r="AI77" s="75">
        <f t="shared" si="324"/>
        <v>0</v>
      </c>
      <c r="AJ77" s="75">
        <f t="shared" si="324"/>
        <v>0</v>
      </c>
      <c r="AK77" s="75">
        <f t="shared" si="324"/>
        <v>0</v>
      </c>
      <c r="AL77" s="75">
        <f t="shared" si="324"/>
        <v>0</v>
      </c>
      <c r="AM77" s="75">
        <f t="shared" si="324"/>
        <v>0</v>
      </c>
      <c r="AN77" s="75">
        <f t="shared" si="324"/>
        <v>0</v>
      </c>
      <c r="AO77" s="75">
        <f t="shared" si="324"/>
        <v>0</v>
      </c>
      <c r="AP77" s="75">
        <f t="shared" si="324"/>
        <v>0</v>
      </c>
      <c r="AQ77" s="75">
        <f t="shared" si="324"/>
        <v>0</v>
      </c>
      <c r="AR77" s="75">
        <f t="shared" si="324"/>
        <v>0</v>
      </c>
      <c r="AS77" s="75">
        <f t="shared" si="324"/>
        <v>0</v>
      </c>
      <c r="AT77" s="56"/>
    </row>
    <row r="78" spans="1:46" ht="15" customHeight="1" x14ac:dyDescent="0.25">
      <c r="A78" s="3" t="s">
        <v>154</v>
      </c>
      <c r="B78" s="3" t="s">
        <v>155</v>
      </c>
      <c r="C78" s="54" t="s">
        <v>32</v>
      </c>
      <c r="D78" s="3">
        <v>3</v>
      </c>
      <c r="E78" s="3" t="s">
        <v>33</v>
      </c>
      <c r="F78" s="34" t="s">
        <v>75</v>
      </c>
      <c r="G78" s="3" t="s">
        <v>34</v>
      </c>
      <c r="H78" s="3" t="s">
        <v>76</v>
      </c>
      <c r="I78" s="3" t="s">
        <v>77</v>
      </c>
      <c r="J78" s="3">
        <v>2036644</v>
      </c>
      <c r="K78" s="3" t="s">
        <v>78</v>
      </c>
      <c r="L78" s="3">
        <v>3188120410</v>
      </c>
      <c r="M78" s="13">
        <v>45903</v>
      </c>
      <c r="N78" s="3" t="s">
        <v>40</v>
      </c>
      <c r="O78" s="3" t="s">
        <v>36</v>
      </c>
      <c r="P78" s="72">
        <v>0</v>
      </c>
      <c r="Q78" s="72">
        <v>0</v>
      </c>
      <c r="R78" s="72">
        <v>0</v>
      </c>
      <c r="S78" s="72">
        <v>0</v>
      </c>
      <c r="T78" s="72">
        <v>0</v>
      </c>
      <c r="U78" s="72">
        <v>0</v>
      </c>
      <c r="V78" s="72">
        <v>0</v>
      </c>
      <c r="W78" s="72">
        <v>0</v>
      </c>
      <c r="X78" s="72">
        <v>0</v>
      </c>
      <c r="Y78" s="72">
        <v>0</v>
      </c>
      <c r="Z78" s="72">
        <v>0</v>
      </c>
      <c r="AA78" s="72">
        <v>0</v>
      </c>
      <c r="AB78" s="72">
        <v>0</v>
      </c>
      <c r="AC78" s="72">
        <v>0</v>
      </c>
      <c r="AD78" s="72">
        <v>0</v>
      </c>
      <c r="AE78" s="72">
        <v>0</v>
      </c>
      <c r="AF78" s="72">
        <v>0</v>
      </c>
      <c r="AG78" s="72">
        <v>0</v>
      </c>
      <c r="AH78" s="72">
        <v>0</v>
      </c>
      <c r="AI78" s="72">
        <v>0</v>
      </c>
      <c r="AJ78" s="72">
        <v>0</v>
      </c>
      <c r="AK78" s="72">
        <v>0</v>
      </c>
      <c r="AL78" s="72">
        <v>0</v>
      </c>
      <c r="AM78" s="72">
        <v>0</v>
      </c>
      <c r="AN78" s="72">
        <v>0</v>
      </c>
      <c r="AO78" s="72">
        <v>0</v>
      </c>
      <c r="AP78" s="72">
        <v>0</v>
      </c>
      <c r="AQ78" s="72">
        <v>0</v>
      </c>
      <c r="AR78" s="72">
        <v>0</v>
      </c>
      <c r="AS78" s="73">
        <f>SUMIF(P78:AR78,3.45)</f>
        <v>0</v>
      </c>
      <c r="AT78" s="3"/>
    </row>
    <row r="79" spans="1:46" ht="15" customHeight="1" x14ac:dyDescent="0.25">
      <c r="A79" s="3" t="s">
        <v>154</v>
      </c>
      <c r="B79" s="3" t="s">
        <v>155</v>
      </c>
      <c r="C79" s="54" t="s">
        <v>32</v>
      </c>
      <c r="D79" s="3">
        <v>3</v>
      </c>
      <c r="E79" s="3" t="s">
        <v>33</v>
      </c>
      <c r="F79" s="3" t="s">
        <v>79</v>
      </c>
      <c r="G79" s="3" t="s">
        <v>34</v>
      </c>
      <c r="H79" s="3" t="s">
        <v>76</v>
      </c>
      <c r="I79" s="3" t="s">
        <v>77</v>
      </c>
      <c r="J79" s="3">
        <v>2012501</v>
      </c>
      <c r="K79" s="3" t="s">
        <v>80</v>
      </c>
      <c r="L79" s="3">
        <v>3124250477</v>
      </c>
      <c r="M79" s="13">
        <v>45895</v>
      </c>
      <c r="N79" s="3" t="s">
        <v>39</v>
      </c>
      <c r="O79" s="3" t="s">
        <v>36</v>
      </c>
      <c r="P79" s="72">
        <v>0</v>
      </c>
      <c r="Q79" s="72">
        <v>0</v>
      </c>
      <c r="R79" s="72">
        <v>0</v>
      </c>
      <c r="S79" s="72">
        <v>0</v>
      </c>
      <c r="T79" s="72">
        <v>0</v>
      </c>
      <c r="U79" s="72">
        <v>0</v>
      </c>
      <c r="V79" s="72">
        <v>0</v>
      </c>
      <c r="W79" s="72">
        <v>0</v>
      </c>
      <c r="X79" s="72">
        <v>0</v>
      </c>
      <c r="Y79" s="72">
        <v>0</v>
      </c>
      <c r="Z79" s="72">
        <v>0</v>
      </c>
      <c r="AA79" s="72">
        <v>0</v>
      </c>
      <c r="AB79" s="72">
        <v>0</v>
      </c>
      <c r="AC79" s="72">
        <v>0</v>
      </c>
      <c r="AD79" s="72">
        <v>0</v>
      </c>
      <c r="AE79" s="72">
        <v>0</v>
      </c>
      <c r="AF79" s="72">
        <v>0</v>
      </c>
      <c r="AG79" s="72">
        <v>0</v>
      </c>
      <c r="AH79" s="72">
        <v>0</v>
      </c>
      <c r="AI79" s="72">
        <v>0</v>
      </c>
      <c r="AJ79" s="72">
        <v>0</v>
      </c>
      <c r="AK79" s="72">
        <v>0</v>
      </c>
      <c r="AL79" s="72">
        <v>0</v>
      </c>
      <c r="AM79" s="72">
        <v>0</v>
      </c>
      <c r="AN79" s="72">
        <v>0</v>
      </c>
      <c r="AO79" s="72">
        <v>0</v>
      </c>
      <c r="AP79" s="72">
        <v>0</v>
      </c>
      <c r="AQ79" s="72">
        <v>0</v>
      </c>
      <c r="AR79" s="72">
        <v>0</v>
      </c>
      <c r="AS79" s="73">
        <f t="shared" ref="AS79:AS82" si="325">SUMIF(P79:AR79,3.45)</f>
        <v>0</v>
      </c>
      <c r="AT79" s="3"/>
    </row>
    <row r="80" spans="1:46" ht="15" customHeight="1" x14ac:dyDescent="0.25">
      <c r="A80" s="3" t="s">
        <v>154</v>
      </c>
      <c r="B80" s="3" t="s">
        <v>155</v>
      </c>
      <c r="C80" s="54" t="s">
        <v>32</v>
      </c>
      <c r="D80" s="3">
        <v>3</v>
      </c>
      <c r="E80" s="3" t="s">
        <v>33</v>
      </c>
      <c r="F80" s="3" t="s">
        <v>81</v>
      </c>
      <c r="G80" s="3" t="s">
        <v>34</v>
      </c>
      <c r="H80" s="3" t="s">
        <v>76</v>
      </c>
      <c r="I80" s="3" t="s">
        <v>77</v>
      </c>
      <c r="J80" s="3">
        <v>1980561</v>
      </c>
      <c r="K80" s="3" t="s">
        <v>82</v>
      </c>
      <c r="L80" s="3">
        <v>3136765995</v>
      </c>
      <c r="M80" s="13">
        <v>45895</v>
      </c>
      <c r="N80" s="3" t="s">
        <v>41</v>
      </c>
      <c r="O80" s="3" t="s">
        <v>36</v>
      </c>
      <c r="P80" s="72">
        <v>0</v>
      </c>
      <c r="Q80" s="72">
        <v>0</v>
      </c>
      <c r="R80" s="72">
        <v>0</v>
      </c>
      <c r="S80" s="72">
        <v>0</v>
      </c>
      <c r="T80" s="72">
        <v>0</v>
      </c>
      <c r="U80" s="72">
        <v>0</v>
      </c>
      <c r="V80" s="72">
        <v>0</v>
      </c>
      <c r="W80" s="72">
        <v>0</v>
      </c>
      <c r="X80" s="72">
        <v>0</v>
      </c>
      <c r="Y80" s="72">
        <v>0</v>
      </c>
      <c r="Z80" s="72">
        <v>0</v>
      </c>
      <c r="AA80" s="72">
        <v>0</v>
      </c>
      <c r="AB80" s="72">
        <v>0</v>
      </c>
      <c r="AC80" s="72">
        <v>0</v>
      </c>
      <c r="AD80" s="72">
        <v>0</v>
      </c>
      <c r="AE80" s="72">
        <v>0</v>
      </c>
      <c r="AF80" s="72">
        <v>0</v>
      </c>
      <c r="AG80" s="72">
        <v>0</v>
      </c>
      <c r="AH80" s="72">
        <v>0</v>
      </c>
      <c r="AI80" s="72">
        <v>0</v>
      </c>
      <c r="AJ80" s="72">
        <v>0</v>
      </c>
      <c r="AK80" s="72">
        <v>0</v>
      </c>
      <c r="AL80" s="72">
        <v>0</v>
      </c>
      <c r="AM80" s="72">
        <v>0</v>
      </c>
      <c r="AN80" s="72">
        <v>0</v>
      </c>
      <c r="AO80" s="72">
        <v>0</v>
      </c>
      <c r="AP80" s="72">
        <v>0</v>
      </c>
      <c r="AQ80" s="72">
        <v>0</v>
      </c>
      <c r="AR80" s="72">
        <v>0</v>
      </c>
      <c r="AS80" s="73">
        <f t="shared" si="325"/>
        <v>0</v>
      </c>
      <c r="AT80" s="3"/>
    </row>
    <row r="81" spans="1:46" ht="15" customHeight="1" x14ac:dyDescent="0.25">
      <c r="A81" s="3" t="s">
        <v>154</v>
      </c>
      <c r="B81" s="3" t="s">
        <v>155</v>
      </c>
      <c r="C81" s="54" t="s">
        <v>32</v>
      </c>
      <c r="D81" s="3">
        <v>3</v>
      </c>
      <c r="E81" s="3" t="s">
        <v>33</v>
      </c>
      <c r="F81" s="3" t="s">
        <v>83</v>
      </c>
      <c r="G81" s="3" t="s">
        <v>34</v>
      </c>
      <c r="H81" s="3" t="s">
        <v>76</v>
      </c>
      <c r="I81" s="3" t="s">
        <v>77</v>
      </c>
      <c r="J81" s="3">
        <v>1912585</v>
      </c>
      <c r="K81" s="3"/>
      <c r="L81" s="3">
        <v>3136730889</v>
      </c>
      <c r="M81" s="13">
        <v>45894</v>
      </c>
      <c r="N81" s="3" t="s">
        <v>37</v>
      </c>
      <c r="O81" s="3" t="s">
        <v>36</v>
      </c>
      <c r="P81" s="72">
        <v>0</v>
      </c>
      <c r="Q81" s="72">
        <v>0</v>
      </c>
      <c r="R81" s="72">
        <v>0</v>
      </c>
      <c r="S81" s="72">
        <v>0</v>
      </c>
      <c r="T81" s="72">
        <v>0</v>
      </c>
      <c r="U81" s="72">
        <v>0</v>
      </c>
      <c r="V81" s="72">
        <v>0</v>
      </c>
      <c r="W81" s="72">
        <v>0</v>
      </c>
      <c r="X81" s="72">
        <v>0</v>
      </c>
      <c r="Y81" s="72">
        <v>0</v>
      </c>
      <c r="Z81" s="72">
        <v>0</v>
      </c>
      <c r="AA81" s="72">
        <v>0</v>
      </c>
      <c r="AB81" s="72">
        <v>0</v>
      </c>
      <c r="AC81" s="72">
        <v>0</v>
      </c>
      <c r="AD81" s="72">
        <v>0</v>
      </c>
      <c r="AE81" s="72">
        <v>0</v>
      </c>
      <c r="AF81" s="72">
        <v>0</v>
      </c>
      <c r="AG81" s="72">
        <v>0</v>
      </c>
      <c r="AH81" s="72">
        <v>0</v>
      </c>
      <c r="AI81" s="72">
        <v>0</v>
      </c>
      <c r="AJ81" s="72">
        <v>0</v>
      </c>
      <c r="AK81" s="72">
        <v>0</v>
      </c>
      <c r="AL81" s="72">
        <v>0</v>
      </c>
      <c r="AM81" s="72">
        <v>0</v>
      </c>
      <c r="AN81" s="72">
        <v>0</v>
      </c>
      <c r="AO81" s="72">
        <v>0</v>
      </c>
      <c r="AP81" s="72">
        <v>0</v>
      </c>
      <c r="AQ81" s="72">
        <v>0</v>
      </c>
      <c r="AR81" s="72">
        <v>0</v>
      </c>
      <c r="AS81" s="73">
        <f t="shared" si="325"/>
        <v>0</v>
      </c>
      <c r="AT81" s="3"/>
    </row>
    <row r="82" spans="1:46" ht="15" customHeight="1" x14ac:dyDescent="0.25">
      <c r="A82" s="3" t="s">
        <v>154</v>
      </c>
      <c r="B82" s="3" t="s">
        <v>155</v>
      </c>
      <c r="C82" s="54" t="s">
        <v>32</v>
      </c>
      <c r="D82" s="3">
        <v>3</v>
      </c>
      <c r="E82" s="3" t="s">
        <v>33</v>
      </c>
      <c r="F82" s="3" t="s">
        <v>84</v>
      </c>
      <c r="G82" s="3" t="s">
        <v>34</v>
      </c>
      <c r="H82" s="3" t="s">
        <v>76</v>
      </c>
      <c r="I82" s="3" t="s">
        <v>77</v>
      </c>
      <c r="J82" s="3">
        <v>1862296</v>
      </c>
      <c r="K82" s="3" t="s">
        <v>85</v>
      </c>
      <c r="L82" s="3">
        <v>3195715429</v>
      </c>
      <c r="M82" s="13">
        <v>45898</v>
      </c>
      <c r="N82" s="3" t="s">
        <v>38</v>
      </c>
      <c r="O82" s="3" t="s">
        <v>36</v>
      </c>
      <c r="P82" s="72">
        <v>0</v>
      </c>
      <c r="Q82" s="72">
        <v>0</v>
      </c>
      <c r="R82" s="72">
        <v>0</v>
      </c>
      <c r="S82" s="72">
        <v>0</v>
      </c>
      <c r="T82" s="72">
        <v>0</v>
      </c>
      <c r="U82" s="72">
        <v>0</v>
      </c>
      <c r="V82" s="72">
        <v>0</v>
      </c>
      <c r="W82" s="72">
        <v>0</v>
      </c>
      <c r="X82" s="72">
        <v>0</v>
      </c>
      <c r="Y82" s="72">
        <v>0</v>
      </c>
      <c r="Z82" s="72">
        <v>0</v>
      </c>
      <c r="AA82" s="72">
        <v>0</v>
      </c>
      <c r="AB82" s="72">
        <v>0</v>
      </c>
      <c r="AC82" s="72">
        <v>0</v>
      </c>
      <c r="AD82" s="72">
        <v>0</v>
      </c>
      <c r="AE82" s="72">
        <v>0</v>
      </c>
      <c r="AF82" s="72">
        <v>0</v>
      </c>
      <c r="AG82" s="72">
        <v>0</v>
      </c>
      <c r="AH82" s="72">
        <v>0</v>
      </c>
      <c r="AI82" s="72">
        <v>0</v>
      </c>
      <c r="AJ82" s="72">
        <v>0</v>
      </c>
      <c r="AK82" s="72">
        <v>0</v>
      </c>
      <c r="AL82" s="72">
        <v>0</v>
      </c>
      <c r="AM82" s="72">
        <v>0</v>
      </c>
      <c r="AN82" s="72">
        <v>0</v>
      </c>
      <c r="AO82" s="72">
        <v>0</v>
      </c>
      <c r="AP82" s="72">
        <v>0</v>
      </c>
      <c r="AQ82" s="72">
        <v>0</v>
      </c>
      <c r="AR82" s="72">
        <v>0</v>
      </c>
      <c r="AS82" s="73">
        <f t="shared" si="325"/>
        <v>0</v>
      </c>
      <c r="AT82" s="3"/>
    </row>
    <row r="83" spans="1:46" ht="15" customHeight="1" x14ac:dyDescent="0.25">
      <c r="A83" s="11" t="s">
        <v>154</v>
      </c>
      <c r="B83" s="11" t="s">
        <v>155</v>
      </c>
      <c r="C83" s="66" t="s">
        <v>130</v>
      </c>
      <c r="D83" s="67"/>
      <c r="E83" s="67"/>
      <c r="F83" s="67"/>
      <c r="G83" s="67"/>
      <c r="H83" s="67"/>
      <c r="I83" s="67"/>
      <c r="J83" s="11"/>
      <c r="K83" s="11"/>
      <c r="L83" s="11"/>
      <c r="M83" s="12"/>
      <c r="N83" s="11"/>
      <c r="O83" s="11" t="s">
        <v>156</v>
      </c>
      <c r="P83" s="74">
        <f>SUM(P78:P82)</f>
        <v>0</v>
      </c>
      <c r="Q83" s="74">
        <f t="shared" ref="Q83" si="326">SUM(Q78:Q82)</f>
        <v>0</v>
      </c>
      <c r="R83" s="74">
        <f t="shared" ref="R83" si="327">SUM(R78:R82)</f>
        <v>0</v>
      </c>
      <c r="S83" s="74">
        <f t="shared" ref="S83" si="328">SUM(S78:S82)</f>
        <v>0</v>
      </c>
      <c r="T83" s="74">
        <f t="shared" ref="T83" si="329">SUM(T78:T82)</f>
        <v>0</v>
      </c>
      <c r="U83" s="74">
        <f t="shared" ref="U83" si="330">SUM(U78:U82)</f>
        <v>0</v>
      </c>
      <c r="V83" s="74">
        <f t="shared" ref="V83" si="331">SUM(V78:V82)</f>
        <v>0</v>
      </c>
      <c r="W83" s="74">
        <f t="shared" ref="W83" si="332">SUM(W78:W82)</f>
        <v>0</v>
      </c>
      <c r="X83" s="74">
        <f t="shared" ref="X83" si="333">SUM(X78:X82)</f>
        <v>0</v>
      </c>
      <c r="Y83" s="74">
        <f t="shared" ref="Y83" si="334">SUM(Y78:Y82)</f>
        <v>0</v>
      </c>
      <c r="Z83" s="74">
        <f t="shared" ref="Z83" si="335">SUM(Z78:Z82)</f>
        <v>0</v>
      </c>
      <c r="AA83" s="74">
        <f t="shared" ref="AA83" si="336">SUM(AA78:AA82)</f>
        <v>0</v>
      </c>
      <c r="AB83" s="74">
        <f t="shared" ref="AB83" si="337">SUM(AB78:AB82)</f>
        <v>0</v>
      </c>
      <c r="AC83" s="74">
        <f t="shared" ref="AC83" si="338">SUM(AC78:AC82)</f>
        <v>0</v>
      </c>
      <c r="AD83" s="74">
        <f t="shared" ref="AD83" si="339">SUM(AD78:AD82)</f>
        <v>0</v>
      </c>
      <c r="AE83" s="74">
        <f t="shared" ref="AE83" si="340">SUM(AE78:AE82)</f>
        <v>0</v>
      </c>
      <c r="AF83" s="74">
        <f t="shared" ref="AF83" si="341">SUM(AF78:AF82)</f>
        <v>0</v>
      </c>
      <c r="AG83" s="74">
        <f t="shared" ref="AG83" si="342">SUM(AG78:AG82)</f>
        <v>0</v>
      </c>
      <c r="AH83" s="74">
        <f t="shared" ref="AH83" si="343">SUM(AH78:AH82)</f>
        <v>0</v>
      </c>
      <c r="AI83" s="74">
        <f t="shared" ref="AI83" si="344">SUM(AI78:AI82)</f>
        <v>0</v>
      </c>
      <c r="AJ83" s="74">
        <f t="shared" ref="AJ83" si="345">SUM(AJ78:AJ82)</f>
        <v>0</v>
      </c>
      <c r="AK83" s="74">
        <f t="shared" ref="AK83" si="346">SUM(AK78:AK82)</f>
        <v>0</v>
      </c>
      <c r="AL83" s="74">
        <f t="shared" ref="AL83" si="347">SUM(AL78:AL82)</f>
        <v>0</v>
      </c>
      <c r="AM83" s="74">
        <f t="shared" ref="AM83" si="348">SUM(AM78:AM82)</f>
        <v>0</v>
      </c>
      <c r="AN83" s="74">
        <f t="shared" ref="AN83" si="349">SUM(AN78:AN82)</f>
        <v>0</v>
      </c>
      <c r="AO83" s="74">
        <f t="shared" ref="AO83" si="350">SUM(AO78:AO82)</f>
        <v>0</v>
      </c>
      <c r="AP83" s="74">
        <f t="shared" ref="AP83" si="351">SUM(AP78:AP82)</f>
        <v>0</v>
      </c>
      <c r="AQ83" s="74">
        <f t="shared" ref="AQ83" si="352">SUM(AQ78:AQ82)</f>
        <v>0</v>
      </c>
      <c r="AR83" s="74">
        <f t="shared" ref="AR83" si="353">SUM(AR78:AR82)</f>
        <v>0</v>
      </c>
      <c r="AS83" s="74">
        <f>SUM(AS78:AS82)</f>
        <v>0</v>
      </c>
      <c r="AT83" s="11"/>
    </row>
    <row r="84" spans="1:46" ht="15" customHeight="1" x14ac:dyDescent="0.25">
      <c r="A84" s="3" t="s">
        <v>154</v>
      </c>
      <c r="B84" s="3" t="s">
        <v>155</v>
      </c>
      <c r="C84" s="54" t="s">
        <v>32</v>
      </c>
      <c r="D84" s="3">
        <v>3</v>
      </c>
      <c r="E84" s="3" t="s">
        <v>33</v>
      </c>
      <c r="F84" s="3" t="s">
        <v>86</v>
      </c>
      <c r="G84" s="3" t="s">
        <v>34</v>
      </c>
      <c r="H84" s="3" t="s">
        <v>76</v>
      </c>
      <c r="I84" s="3" t="s">
        <v>87</v>
      </c>
      <c r="J84" s="3">
        <v>2116291</v>
      </c>
      <c r="K84" s="3" t="s">
        <v>88</v>
      </c>
      <c r="L84" s="3">
        <v>3017616045</v>
      </c>
      <c r="M84" s="13">
        <v>45894</v>
      </c>
      <c r="N84" s="3" t="s">
        <v>39</v>
      </c>
      <c r="O84" s="3" t="s">
        <v>36</v>
      </c>
      <c r="P84" s="72">
        <v>0</v>
      </c>
      <c r="Q84" s="72">
        <v>0</v>
      </c>
      <c r="R84" s="72">
        <v>0</v>
      </c>
      <c r="S84" s="72">
        <v>0</v>
      </c>
      <c r="T84" s="72">
        <v>0</v>
      </c>
      <c r="U84" s="72">
        <v>0</v>
      </c>
      <c r="V84" s="72">
        <v>0</v>
      </c>
      <c r="W84" s="72">
        <v>0</v>
      </c>
      <c r="X84" s="72">
        <v>0</v>
      </c>
      <c r="Y84" s="72">
        <v>0</v>
      </c>
      <c r="Z84" s="72">
        <v>0</v>
      </c>
      <c r="AA84" s="72">
        <v>0</v>
      </c>
      <c r="AB84" s="72">
        <v>0</v>
      </c>
      <c r="AC84" s="72">
        <v>0</v>
      </c>
      <c r="AD84" s="72">
        <v>0</v>
      </c>
      <c r="AE84" s="72">
        <v>0</v>
      </c>
      <c r="AF84" s="72">
        <v>0</v>
      </c>
      <c r="AG84" s="72">
        <v>0</v>
      </c>
      <c r="AH84" s="72">
        <v>0</v>
      </c>
      <c r="AI84" s="72">
        <v>0</v>
      </c>
      <c r="AJ84" s="72">
        <v>0</v>
      </c>
      <c r="AK84" s="72">
        <v>0</v>
      </c>
      <c r="AL84" s="72">
        <v>0</v>
      </c>
      <c r="AM84" s="72">
        <v>0</v>
      </c>
      <c r="AN84" s="72">
        <v>0</v>
      </c>
      <c r="AO84" s="72">
        <v>0</v>
      </c>
      <c r="AP84" s="72">
        <v>0</v>
      </c>
      <c r="AQ84" s="72">
        <v>0</v>
      </c>
      <c r="AR84" s="72">
        <v>0</v>
      </c>
      <c r="AS84" s="73">
        <f>SUMIF(P84:AR84,3.45)</f>
        <v>0</v>
      </c>
      <c r="AT84" s="3"/>
    </row>
    <row r="85" spans="1:46" ht="15" customHeight="1" x14ac:dyDescent="0.25">
      <c r="A85" s="3" t="s">
        <v>154</v>
      </c>
      <c r="B85" s="3" t="s">
        <v>155</v>
      </c>
      <c r="C85" s="54" t="s">
        <v>32</v>
      </c>
      <c r="D85" s="3">
        <v>3</v>
      </c>
      <c r="E85" s="3" t="s">
        <v>33</v>
      </c>
      <c r="F85" s="3" t="s">
        <v>89</v>
      </c>
      <c r="G85" s="3" t="s">
        <v>34</v>
      </c>
      <c r="H85" s="3" t="s">
        <v>76</v>
      </c>
      <c r="I85" s="3" t="s">
        <v>87</v>
      </c>
      <c r="J85" s="3">
        <v>2124205</v>
      </c>
      <c r="K85" s="3" t="s">
        <v>90</v>
      </c>
      <c r="L85" s="3">
        <v>3217239673</v>
      </c>
      <c r="M85" s="13">
        <v>45917</v>
      </c>
      <c r="N85" s="3" t="s">
        <v>91</v>
      </c>
      <c r="O85" s="3" t="s">
        <v>36</v>
      </c>
      <c r="P85" s="72">
        <v>0</v>
      </c>
      <c r="Q85" s="72">
        <v>0</v>
      </c>
      <c r="R85" s="72">
        <v>0</v>
      </c>
      <c r="S85" s="72">
        <v>0</v>
      </c>
      <c r="T85" s="72">
        <v>0</v>
      </c>
      <c r="U85" s="72">
        <v>0</v>
      </c>
      <c r="V85" s="72">
        <v>0</v>
      </c>
      <c r="W85" s="72">
        <v>0</v>
      </c>
      <c r="X85" s="72">
        <v>0</v>
      </c>
      <c r="Y85" s="72">
        <v>0</v>
      </c>
      <c r="Z85" s="72">
        <v>0</v>
      </c>
      <c r="AA85" s="72">
        <v>0</v>
      </c>
      <c r="AB85" s="72">
        <v>0</v>
      </c>
      <c r="AC85" s="72">
        <v>0</v>
      </c>
      <c r="AD85" s="72">
        <v>0</v>
      </c>
      <c r="AE85" s="72">
        <v>0</v>
      </c>
      <c r="AF85" s="72">
        <v>0</v>
      </c>
      <c r="AG85" s="72">
        <v>0</v>
      </c>
      <c r="AH85" s="72">
        <v>0</v>
      </c>
      <c r="AI85" s="72">
        <v>0</v>
      </c>
      <c r="AJ85" s="72">
        <v>0</v>
      </c>
      <c r="AK85" s="72">
        <v>0</v>
      </c>
      <c r="AL85" s="72">
        <v>0</v>
      </c>
      <c r="AM85" s="72">
        <v>0</v>
      </c>
      <c r="AN85" s="72">
        <v>0</v>
      </c>
      <c r="AO85" s="72">
        <v>0</v>
      </c>
      <c r="AP85" s="72">
        <v>0</v>
      </c>
      <c r="AQ85" s="72">
        <v>0</v>
      </c>
      <c r="AR85" s="72">
        <v>0</v>
      </c>
      <c r="AS85" s="73">
        <f t="shared" ref="AS85:AS88" si="354">SUMIF(P85:AR85,3.45)</f>
        <v>0</v>
      </c>
      <c r="AT85" s="3"/>
    </row>
    <row r="86" spans="1:46" ht="15" customHeight="1" x14ac:dyDescent="0.25">
      <c r="A86" s="3" t="s">
        <v>154</v>
      </c>
      <c r="B86" s="3" t="s">
        <v>155</v>
      </c>
      <c r="C86" s="54" t="s">
        <v>32</v>
      </c>
      <c r="D86" s="3">
        <v>3</v>
      </c>
      <c r="E86" s="3" t="s">
        <v>33</v>
      </c>
      <c r="F86" s="3" t="s">
        <v>92</v>
      </c>
      <c r="G86" s="3" t="s">
        <v>34</v>
      </c>
      <c r="H86" s="3" t="s">
        <v>76</v>
      </c>
      <c r="I86" s="3" t="s">
        <v>87</v>
      </c>
      <c r="J86" s="3">
        <v>1113036406</v>
      </c>
      <c r="K86" s="3" t="s">
        <v>93</v>
      </c>
      <c r="L86" s="3">
        <v>3145950331</v>
      </c>
      <c r="M86" s="13">
        <v>45898</v>
      </c>
      <c r="N86" s="3" t="s">
        <v>35</v>
      </c>
      <c r="O86" s="3" t="s">
        <v>36</v>
      </c>
      <c r="P86" s="72">
        <v>0</v>
      </c>
      <c r="Q86" s="72">
        <v>0</v>
      </c>
      <c r="R86" s="72">
        <v>0</v>
      </c>
      <c r="S86" s="72">
        <v>0</v>
      </c>
      <c r="T86" s="72">
        <v>0</v>
      </c>
      <c r="U86" s="72">
        <v>0</v>
      </c>
      <c r="V86" s="72">
        <v>0</v>
      </c>
      <c r="W86" s="72">
        <v>0</v>
      </c>
      <c r="X86" s="72">
        <v>0</v>
      </c>
      <c r="Y86" s="72">
        <v>0</v>
      </c>
      <c r="Z86" s="72">
        <v>0</v>
      </c>
      <c r="AA86" s="72">
        <v>0</v>
      </c>
      <c r="AB86" s="72">
        <v>0</v>
      </c>
      <c r="AC86" s="72">
        <v>0</v>
      </c>
      <c r="AD86" s="72">
        <v>0</v>
      </c>
      <c r="AE86" s="72">
        <v>0</v>
      </c>
      <c r="AF86" s="72">
        <v>0</v>
      </c>
      <c r="AG86" s="72">
        <v>0</v>
      </c>
      <c r="AH86" s="72">
        <v>0</v>
      </c>
      <c r="AI86" s="72">
        <v>0</v>
      </c>
      <c r="AJ86" s="72">
        <v>0</v>
      </c>
      <c r="AK86" s="72">
        <v>0</v>
      </c>
      <c r="AL86" s="72">
        <v>0</v>
      </c>
      <c r="AM86" s="72">
        <v>0</v>
      </c>
      <c r="AN86" s="72">
        <v>0</v>
      </c>
      <c r="AO86" s="72">
        <v>0</v>
      </c>
      <c r="AP86" s="72">
        <v>0</v>
      </c>
      <c r="AQ86" s="72">
        <v>0</v>
      </c>
      <c r="AR86" s="72">
        <v>0</v>
      </c>
      <c r="AS86" s="73">
        <f t="shared" si="354"/>
        <v>0</v>
      </c>
      <c r="AT86" s="3"/>
    </row>
    <row r="87" spans="1:46" ht="15" customHeight="1" x14ac:dyDescent="0.25">
      <c r="A87" s="3" t="s">
        <v>154</v>
      </c>
      <c r="B87" s="3" t="s">
        <v>155</v>
      </c>
      <c r="C87" s="54" t="s">
        <v>32</v>
      </c>
      <c r="D87" s="3">
        <v>3</v>
      </c>
      <c r="E87" s="3" t="s">
        <v>33</v>
      </c>
      <c r="F87" s="3" t="s">
        <v>94</v>
      </c>
      <c r="G87" s="3" t="s">
        <v>34</v>
      </c>
      <c r="H87" s="3" t="s">
        <v>76</v>
      </c>
      <c r="I87" s="3" t="s">
        <v>87</v>
      </c>
      <c r="J87" s="3">
        <v>1879815</v>
      </c>
      <c r="K87" s="3" t="s">
        <v>95</v>
      </c>
      <c r="L87" s="3">
        <v>3222889204</v>
      </c>
      <c r="M87" s="13">
        <v>45894</v>
      </c>
      <c r="N87" s="3" t="s">
        <v>38</v>
      </c>
      <c r="O87" s="3" t="s">
        <v>36</v>
      </c>
      <c r="P87" s="72">
        <v>0</v>
      </c>
      <c r="Q87" s="72">
        <v>0</v>
      </c>
      <c r="R87" s="72">
        <v>0</v>
      </c>
      <c r="S87" s="72">
        <v>0</v>
      </c>
      <c r="T87" s="72">
        <v>0</v>
      </c>
      <c r="U87" s="72">
        <v>0</v>
      </c>
      <c r="V87" s="72">
        <v>0</v>
      </c>
      <c r="W87" s="72">
        <v>0</v>
      </c>
      <c r="X87" s="72">
        <v>0</v>
      </c>
      <c r="Y87" s="72">
        <v>0</v>
      </c>
      <c r="Z87" s="72">
        <v>0</v>
      </c>
      <c r="AA87" s="72">
        <v>0</v>
      </c>
      <c r="AB87" s="72">
        <v>0</v>
      </c>
      <c r="AC87" s="72">
        <v>0</v>
      </c>
      <c r="AD87" s="72">
        <v>0</v>
      </c>
      <c r="AE87" s="72">
        <v>0</v>
      </c>
      <c r="AF87" s="72">
        <v>0</v>
      </c>
      <c r="AG87" s="72">
        <v>0</v>
      </c>
      <c r="AH87" s="72">
        <v>0</v>
      </c>
      <c r="AI87" s="72">
        <v>0</v>
      </c>
      <c r="AJ87" s="72">
        <v>0</v>
      </c>
      <c r="AK87" s="72">
        <v>0</v>
      </c>
      <c r="AL87" s="72">
        <v>0</v>
      </c>
      <c r="AM87" s="72">
        <v>0</v>
      </c>
      <c r="AN87" s="72">
        <v>0</v>
      </c>
      <c r="AO87" s="72">
        <v>0</v>
      </c>
      <c r="AP87" s="72">
        <v>0</v>
      </c>
      <c r="AQ87" s="72">
        <v>0</v>
      </c>
      <c r="AR87" s="72">
        <v>0</v>
      </c>
      <c r="AS87" s="73">
        <f t="shared" si="354"/>
        <v>0</v>
      </c>
      <c r="AT87" s="3"/>
    </row>
    <row r="88" spans="1:46" ht="15" customHeight="1" x14ac:dyDescent="0.25">
      <c r="A88" s="3" t="s">
        <v>154</v>
      </c>
      <c r="B88" s="3" t="s">
        <v>155</v>
      </c>
      <c r="C88" s="54" t="s">
        <v>32</v>
      </c>
      <c r="D88" s="3">
        <v>3</v>
      </c>
      <c r="E88" s="3" t="s">
        <v>33</v>
      </c>
      <c r="F88" s="3" t="s">
        <v>96</v>
      </c>
      <c r="G88" s="3" t="s">
        <v>34</v>
      </c>
      <c r="H88" s="3" t="s">
        <v>76</v>
      </c>
      <c r="I88" s="3" t="s">
        <v>87</v>
      </c>
      <c r="J88" s="3">
        <v>1862295</v>
      </c>
      <c r="K88" s="3" t="s">
        <v>85</v>
      </c>
      <c r="L88" s="3">
        <v>3195715429</v>
      </c>
      <c r="M88" s="13">
        <v>45884</v>
      </c>
      <c r="N88" s="3" t="s">
        <v>39</v>
      </c>
      <c r="O88" s="3" t="s">
        <v>36</v>
      </c>
      <c r="P88" s="72">
        <v>0</v>
      </c>
      <c r="Q88" s="72">
        <v>0</v>
      </c>
      <c r="R88" s="72">
        <v>0</v>
      </c>
      <c r="S88" s="72">
        <v>0</v>
      </c>
      <c r="T88" s="72">
        <v>0</v>
      </c>
      <c r="U88" s="72">
        <v>0</v>
      </c>
      <c r="V88" s="72">
        <v>0</v>
      </c>
      <c r="W88" s="72">
        <v>0</v>
      </c>
      <c r="X88" s="72">
        <v>0</v>
      </c>
      <c r="Y88" s="72">
        <v>0</v>
      </c>
      <c r="Z88" s="72">
        <v>0</v>
      </c>
      <c r="AA88" s="72">
        <v>0</v>
      </c>
      <c r="AB88" s="72">
        <v>0</v>
      </c>
      <c r="AC88" s="72">
        <v>0</v>
      </c>
      <c r="AD88" s="72">
        <v>0</v>
      </c>
      <c r="AE88" s="72">
        <v>0</v>
      </c>
      <c r="AF88" s="72">
        <v>0</v>
      </c>
      <c r="AG88" s="72">
        <v>0</v>
      </c>
      <c r="AH88" s="72">
        <v>0</v>
      </c>
      <c r="AI88" s="72">
        <v>0</v>
      </c>
      <c r="AJ88" s="72">
        <v>0</v>
      </c>
      <c r="AK88" s="72">
        <v>0</v>
      </c>
      <c r="AL88" s="72">
        <v>0</v>
      </c>
      <c r="AM88" s="72">
        <v>0</v>
      </c>
      <c r="AN88" s="72">
        <v>0</v>
      </c>
      <c r="AO88" s="72">
        <v>0</v>
      </c>
      <c r="AP88" s="72">
        <v>0</v>
      </c>
      <c r="AQ88" s="72">
        <v>0</v>
      </c>
      <c r="AR88" s="72">
        <v>0</v>
      </c>
      <c r="AS88" s="73">
        <f t="shared" si="354"/>
        <v>0</v>
      </c>
      <c r="AT88" s="3"/>
    </row>
    <row r="89" spans="1:46" ht="15" customHeight="1" x14ac:dyDescent="0.25">
      <c r="A89" s="11" t="s">
        <v>154</v>
      </c>
      <c r="B89" s="11" t="s">
        <v>155</v>
      </c>
      <c r="C89" s="66" t="s">
        <v>131</v>
      </c>
      <c r="D89" s="67"/>
      <c r="E89" s="67"/>
      <c r="F89" s="67"/>
      <c r="G89" s="67"/>
      <c r="H89" s="67"/>
      <c r="I89" s="67"/>
      <c r="J89" s="11"/>
      <c r="K89" s="11"/>
      <c r="L89" s="11"/>
      <c r="M89" s="12"/>
      <c r="N89" s="11"/>
      <c r="O89" s="11" t="s">
        <v>156</v>
      </c>
      <c r="P89" s="74">
        <f>SUM(P84:P88)</f>
        <v>0</v>
      </c>
      <c r="Q89" s="74">
        <f t="shared" ref="Q89" si="355">SUM(Q84:Q88)</f>
        <v>0</v>
      </c>
      <c r="R89" s="74">
        <f t="shared" ref="R89" si="356">SUM(R84:R88)</f>
        <v>0</v>
      </c>
      <c r="S89" s="74">
        <f t="shared" ref="S89" si="357">SUM(S84:S88)</f>
        <v>0</v>
      </c>
      <c r="T89" s="74">
        <f t="shared" ref="T89" si="358">SUM(T84:T88)</f>
        <v>0</v>
      </c>
      <c r="U89" s="74">
        <f t="shared" ref="U89" si="359">SUM(U84:U88)</f>
        <v>0</v>
      </c>
      <c r="V89" s="74">
        <f t="shared" ref="V89" si="360">SUM(V84:V88)</f>
        <v>0</v>
      </c>
      <c r="W89" s="74">
        <f t="shared" ref="W89" si="361">SUM(W84:W88)</f>
        <v>0</v>
      </c>
      <c r="X89" s="74">
        <f t="shared" ref="X89" si="362">SUM(X84:X88)</f>
        <v>0</v>
      </c>
      <c r="Y89" s="74">
        <f t="shared" ref="Y89" si="363">SUM(Y84:Y88)</f>
        <v>0</v>
      </c>
      <c r="Z89" s="74">
        <f t="shared" ref="Z89" si="364">SUM(Z84:Z88)</f>
        <v>0</v>
      </c>
      <c r="AA89" s="74">
        <f t="shared" ref="AA89" si="365">SUM(AA84:AA88)</f>
        <v>0</v>
      </c>
      <c r="AB89" s="74">
        <f t="shared" ref="AB89" si="366">SUM(AB84:AB88)</f>
        <v>0</v>
      </c>
      <c r="AC89" s="74">
        <f t="shared" ref="AC89" si="367">SUM(AC84:AC88)</f>
        <v>0</v>
      </c>
      <c r="AD89" s="74">
        <f t="shared" ref="AD89" si="368">SUM(AD84:AD88)</f>
        <v>0</v>
      </c>
      <c r="AE89" s="74">
        <f t="shared" ref="AE89" si="369">SUM(AE84:AE88)</f>
        <v>0</v>
      </c>
      <c r="AF89" s="74">
        <f t="shared" ref="AF89" si="370">SUM(AF84:AF88)</f>
        <v>0</v>
      </c>
      <c r="AG89" s="74">
        <f t="shared" ref="AG89" si="371">SUM(AG84:AG88)</f>
        <v>0</v>
      </c>
      <c r="AH89" s="74">
        <f t="shared" ref="AH89" si="372">SUM(AH84:AH88)</f>
        <v>0</v>
      </c>
      <c r="AI89" s="74">
        <f t="shared" ref="AI89" si="373">SUM(AI84:AI88)</f>
        <v>0</v>
      </c>
      <c r="AJ89" s="74">
        <f t="shared" ref="AJ89" si="374">SUM(AJ84:AJ88)</f>
        <v>0</v>
      </c>
      <c r="AK89" s="74">
        <f t="shared" ref="AK89" si="375">SUM(AK84:AK88)</f>
        <v>0</v>
      </c>
      <c r="AL89" s="74">
        <f t="shared" ref="AL89" si="376">SUM(AL84:AL88)</f>
        <v>0</v>
      </c>
      <c r="AM89" s="74">
        <f t="shared" ref="AM89" si="377">SUM(AM84:AM88)</f>
        <v>0</v>
      </c>
      <c r="AN89" s="74">
        <f t="shared" ref="AN89" si="378">SUM(AN84:AN88)</f>
        <v>0</v>
      </c>
      <c r="AO89" s="74">
        <f t="shared" ref="AO89" si="379">SUM(AO84:AO88)</f>
        <v>0</v>
      </c>
      <c r="AP89" s="74">
        <f t="shared" ref="AP89" si="380">SUM(AP84:AP88)</f>
        <v>0</v>
      </c>
      <c r="AQ89" s="74">
        <f t="shared" ref="AQ89" si="381">SUM(AQ84:AQ88)</f>
        <v>0</v>
      </c>
      <c r="AR89" s="74">
        <f t="shared" ref="AR89" si="382">SUM(AR84:AR88)</f>
        <v>0</v>
      </c>
      <c r="AS89" s="74">
        <f>SUM(AS84:AS88)</f>
        <v>0</v>
      </c>
      <c r="AT89" s="11"/>
    </row>
    <row r="90" spans="1:46" ht="15" customHeight="1" x14ac:dyDescent="0.25">
      <c r="A90" s="3" t="s">
        <v>154</v>
      </c>
      <c r="B90" s="3" t="s">
        <v>155</v>
      </c>
      <c r="C90" s="54" t="s">
        <v>32</v>
      </c>
      <c r="D90" s="3">
        <v>3</v>
      </c>
      <c r="E90" s="3" t="s">
        <v>33</v>
      </c>
      <c r="F90" s="3" t="s">
        <v>97</v>
      </c>
      <c r="G90" s="3" t="s">
        <v>34</v>
      </c>
      <c r="H90" s="3" t="s">
        <v>76</v>
      </c>
      <c r="I90" s="3" t="s">
        <v>98</v>
      </c>
      <c r="J90" s="3">
        <v>2294322</v>
      </c>
      <c r="K90" s="3" t="s">
        <v>99</v>
      </c>
      <c r="L90" s="3">
        <v>3122010235</v>
      </c>
      <c r="M90" s="13">
        <v>45897</v>
      </c>
      <c r="N90" s="3" t="s">
        <v>42</v>
      </c>
      <c r="O90" s="3" t="s">
        <v>36</v>
      </c>
      <c r="P90" s="72">
        <v>0</v>
      </c>
      <c r="Q90" s="72">
        <v>0</v>
      </c>
      <c r="R90" s="72">
        <v>0</v>
      </c>
      <c r="S90" s="72">
        <v>0</v>
      </c>
      <c r="T90" s="72">
        <v>0</v>
      </c>
      <c r="U90" s="72">
        <v>0</v>
      </c>
      <c r="V90" s="72">
        <v>0</v>
      </c>
      <c r="W90" s="72">
        <v>0</v>
      </c>
      <c r="X90" s="72">
        <v>0</v>
      </c>
      <c r="Y90" s="72">
        <v>0</v>
      </c>
      <c r="Z90" s="72">
        <v>0</v>
      </c>
      <c r="AA90" s="72">
        <v>0</v>
      </c>
      <c r="AB90" s="72">
        <v>0</v>
      </c>
      <c r="AC90" s="72">
        <v>0</v>
      </c>
      <c r="AD90" s="72">
        <v>0</v>
      </c>
      <c r="AE90" s="72">
        <v>0</v>
      </c>
      <c r="AF90" s="72">
        <v>0</v>
      </c>
      <c r="AG90" s="72">
        <v>0</v>
      </c>
      <c r="AH90" s="72">
        <v>0</v>
      </c>
      <c r="AI90" s="72">
        <v>0</v>
      </c>
      <c r="AJ90" s="72">
        <v>0</v>
      </c>
      <c r="AK90" s="72">
        <v>0</v>
      </c>
      <c r="AL90" s="72">
        <v>0</v>
      </c>
      <c r="AM90" s="72">
        <v>0</v>
      </c>
      <c r="AN90" s="72">
        <v>0</v>
      </c>
      <c r="AO90" s="72">
        <v>0</v>
      </c>
      <c r="AP90" s="72">
        <v>0</v>
      </c>
      <c r="AQ90" s="72">
        <v>0</v>
      </c>
      <c r="AR90" s="72">
        <v>0</v>
      </c>
      <c r="AS90" s="73">
        <f>SUMIF(P90:AR90,3.45)</f>
        <v>0</v>
      </c>
      <c r="AT90" s="3"/>
    </row>
    <row r="91" spans="1:46" ht="15" customHeight="1" x14ac:dyDescent="0.25">
      <c r="A91" s="3" t="s">
        <v>154</v>
      </c>
      <c r="B91" s="3" t="s">
        <v>155</v>
      </c>
      <c r="C91" s="54" t="s">
        <v>32</v>
      </c>
      <c r="D91" s="3">
        <v>3</v>
      </c>
      <c r="E91" s="3" t="s">
        <v>33</v>
      </c>
      <c r="F91" s="3" t="s">
        <v>100</v>
      </c>
      <c r="G91" s="3" t="s">
        <v>34</v>
      </c>
      <c r="H91" s="3" t="s">
        <v>76</v>
      </c>
      <c r="I91" s="3" t="s">
        <v>98</v>
      </c>
      <c r="J91" s="3">
        <v>2289441</v>
      </c>
      <c r="K91" s="3" t="s">
        <v>101</v>
      </c>
      <c r="L91" s="3">
        <v>3102103741</v>
      </c>
      <c r="M91" s="13">
        <v>45894</v>
      </c>
      <c r="N91" s="3" t="s">
        <v>37</v>
      </c>
      <c r="O91" s="3" t="s">
        <v>36</v>
      </c>
      <c r="P91" s="72">
        <v>0</v>
      </c>
      <c r="Q91" s="72">
        <v>0</v>
      </c>
      <c r="R91" s="72">
        <v>0</v>
      </c>
      <c r="S91" s="72">
        <v>0</v>
      </c>
      <c r="T91" s="72">
        <v>0</v>
      </c>
      <c r="U91" s="72">
        <v>0</v>
      </c>
      <c r="V91" s="72">
        <v>0</v>
      </c>
      <c r="W91" s="72">
        <v>0</v>
      </c>
      <c r="X91" s="72">
        <v>0</v>
      </c>
      <c r="Y91" s="72">
        <v>0</v>
      </c>
      <c r="Z91" s="72">
        <v>0</v>
      </c>
      <c r="AA91" s="72">
        <v>0</v>
      </c>
      <c r="AB91" s="72">
        <v>0</v>
      </c>
      <c r="AC91" s="72">
        <v>0</v>
      </c>
      <c r="AD91" s="72">
        <v>0</v>
      </c>
      <c r="AE91" s="72">
        <v>0</v>
      </c>
      <c r="AF91" s="72">
        <v>0</v>
      </c>
      <c r="AG91" s="72">
        <v>0</v>
      </c>
      <c r="AH91" s="72">
        <v>0</v>
      </c>
      <c r="AI91" s="72">
        <v>0</v>
      </c>
      <c r="AJ91" s="72">
        <v>0</v>
      </c>
      <c r="AK91" s="72">
        <v>0</v>
      </c>
      <c r="AL91" s="72">
        <v>0</v>
      </c>
      <c r="AM91" s="72">
        <v>0</v>
      </c>
      <c r="AN91" s="72">
        <v>0</v>
      </c>
      <c r="AO91" s="72">
        <v>0</v>
      </c>
      <c r="AP91" s="72">
        <v>0</v>
      </c>
      <c r="AQ91" s="72">
        <v>0</v>
      </c>
      <c r="AR91" s="72">
        <v>0</v>
      </c>
      <c r="AS91" s="73">
        <f t="shared" ref="AS91:AS94" si="383">SUMIF(P91:AR91,3.45)</f>
        <v>0</v>
      </c>
      <c r="AT91" s="3"/>
    </row>
    <row r="92" spans="1:46" ht="15" customHeight="1" x14ac:dyDescent="0.25">
      <c r="A92" s="3" t="s">
        <v>154</v>
      </c>
      <c r="B92" s="3" t="s">
        <v>155</v>
      </c>
      <c r="C92" s="54" t="s">
        <v>32</v>
      </c>
      <c r="D92" s="3">
        <v>3</v>
      </c>
      <c r="E92" s="3" t="s">
        <v>33</v>
      </c>
      <c r="F92" s="3" t="s">
        <v>102</v>
      </c>
      <c r="G92" s="3" t="s">
        <v>34</v>
      </c>
      <c r="H92" s="3" t="s">
        <v>76</v>
      </c>
      <c r="I92" s="3" t="s">
        <v>98</v>
      </c>
      <c r="J92" s="3">
        <v>1869928</v>
      </c>
      <c r="K92" s="3" t="s">
        <v>103</v>
      </c>
      <c r="L92" s="3">
        <v>3016666239</v>
      </c>
      <c r="M92" s="13">
        <v>45906</v>
      </c>
      <c r="N92" s="3" t="s">
        <v>35</v>
      </c>
      <c r="O92" s="3" t="s">
        <v>36</v>
      </c>
      <c r="P92" s="72">
        <v>0</v>
      </c>
      <c r="Q92" s="72">
        <v>0</v>
      </c>
      <c r="R92" s="72">
        <v>0</v>
      </c>
      <c r="S92" s="72">
        <v>0</v>
      </c>
      <c r="T92" s="72">
        <v>0</v>
      </c>
      <c r="U92" s="72">
        <v>0</v>
      </c>
      <c r="V92" s="72">
        <v>0</v>
      </c>
      <c r="W92" s="72">
        <v>0</v>
      </c>
      <c r="X92" s="72">
        <v>0</v>
      </c>
      <c r="Y92" s="72">
        <v>0</v>
      </c>
      <c r="Z92" s="72">
        <v>0</v>
      </c>
      <c r="AA92" s="72">
        <v>0</v>
      </c>
      <c r="AB92" s="72">
        <v>0</v>
      </c>
      <c r="AC92" s="72">
        <v>0</v>
      </c>
      <c r="AD92" s="72">
        <v>0</v>
      </c>
      <c r="AE92" s="72">
        <v>0</v>
      </c>
      <c r="AF92" s="72">
        <v>0</v>
      </c>
      <c r="AG92" s="72">
        <v>0</v>
      </c>
      <c r="AH92" s="72">
        <v>0</v>
      </c>
      <c r="AI92" s="72">
        <v>0</v>
      </c>
      <c r="AJ92" s="72">
        <v>0</v>
      </c>
      <c r="AK92" s="72">
        <v>0</v>
      </c>
      <c r="AL92" s="72">
        <v>0</v>
      </c>
      <c r="AM92" s="72">
        <v>0</v>
      </c>
      <c r="AN92" s="72">
        <v>0</v>
      </c>
      <c r="AO92" s="72">
        <v>0</v>
      </c>
      <c r="AP92" s="72">
        <v>0</v>
      </c>
      <c r="AQ92" s="72">
        <v>0</v>
      </c>
      <c r="AR92" s="72">
        <v>0</v>
      </c>
      <c r="AS92" s="73">
        <f t="shared" si="383"/>
        <v>0</v>
      </c>
      <c r="AT92" s="3"/>
    </row>
    <row r="93" spans="1:46" ht="15" customHeight="1" x14ac:dyDescent="0.25">
      <c r="A93" s="3" t="s">
        <v>154</v>
      </c>
      <c r="B93" s="3" t="s">
        <v>155</v>
      </c>
      <c r="C93" s="54" t="s">
        <v>32</v>
      </c>
      <c r="D93" s="3">
        <v>3</v>
      </c>
      <c r="E93" s="3" t="s">
        <v>33</v>
      </c>
      <c r="F93" s="3" t="s">
        <v>104</v>
      </c>
      <c r="G93" s="3" t="s">
        <v>34</v>
      </c>
      <c r="H93" s="3" t="s">
        <v>76</v>
      </c>
      <c r="I93" s="3" t="s">
        <v>98</v>
      </c>
      <c r="J93" s="3">
        <v>2160759</v>
      </c>
      <c r="K93" s="3" t="s">
        <v>105</v>
      </c>
      <c r="L93" s="3">
        <v>3202279425</v>
      </c>
      <c r="M93" s="13">
        <v>45895</v>
      </c>
      <c r="N93" s="3" t="s">
        <v>40</v>
      </c>
      <c r="O93" s="3" t="s">
        <v>36</v>
      </c>
      <c r="P93" s="72">
        <v>0</v>
      </c>
      <c r="Q93" s="72">
        <v>0</v>
      </c>
      <c r="R93" s="72">
        <v>0</v>
      </c>
      <c r="S93" s="72">
        <v>0</v>
      </c>
      <c r="T93" s="72">
        <v>0</v>
      </c>
      <c r="U93" s="72">
        <v>0</v>
      </c>
      <c r="V93" s="72">
        <v>0</v>
      </c>
      <c r="W93" s="72">
        <v>0</v>
      </c>
      <c r="X93" s="72">
        <v>0</v>
      </c>
      <c r="Y93" s="72">
        <v>0</v>
      </c>
      <c r="Z93" s="72">
        <v>0</v>
      </c>
      <c r="AA93" s="72">
        <v>0</v>
      </c>
      <c r="AB93" s="72">
        <v>0</v>
      </c>
      <c r="AC93" s="72">
        <v>0</v>
      </c>
      <c r="AD93" s="72">
        <v>0</v>
      </c>
      <c r="AE93" s="72">
        <v>0</v>
      </c>
      <c r="AF93" s="72">
        <v>0</v>
      </c>
      <c r="AG93" s="72">
        <v>0</v>
      </c>
      <c r="AH93" s="72">
        <v>0</v>
      </c>
      <c r="AI93" s="72">
        <v>0</v>
      </c>
      <c r="AJ93" s="72">
        <v>0</v>
      </c>
      <c r="AK93" s="72">
        <v>0</v>
      </c>
      <c r="AL93" s="72">
        <v>0</v>
      </c>
      <c r="AM93" s="72">
        <v>0</v>
      </c>
      <c r="AN93" s="72">
        <v>0</v>
      </c>
      <c r="AO93" s="72">
        <v>0</v>
      </c>
      <c r="AP93" s="72">
        <v>0</v>
      </c>
      <c r="AQ93" s="72">
        <v>0</v>
      </c>
      <c r="AR93" s="72">
        <v>0</v>
      </c>
      <c r="AS93" s="73">
        <f t="shared" si="383"/>
        <v>0</v>
      </c>
      <c r="AT93" s="3"/>
    </row>
    <row r="94" spans="1:46" ht="15" customHeight="1" x14ac:dyDescent="0.25">
      <c r="A94" s="3" t="s">
        <v>154</v>
      </c>
      <c r="B94" s="3" t="s">
        <v>155</v>
      </c>
      <c r="C94" s="54" t="s">
        <v>32</v>
      </c>
      <c r="D94" s="3">
        <v>3</v>
      </c>
      <c r="E94" s="3" t="s">
        <v>33</v>
      </c>
      <c r="F94" s="3" t="s">
        <v>106</v>
      </c>
      <c r="G94" s="3" t="s">
        <v>34</v>
      </c>
      <c r="H94" s="3" t="s">
        <v>76</v>
      </c>
      <c r="I94" s="3" t="s">
        <v>98</v>
      </c>
      <c r="J94" s="3">
        <v>2052224</v>
      </c>
      <c r="K94" s="3" t="s">
        <v>107</v>
      </c>
      <c r="L94" s="3">
        <v>3102103741</v>
      </c>
      <c r="M94" s="13">
        <v>45897</v>
      </c>
      <c r="N94" s="3" t="s">
        <v>91</v>
      </c>
      <c r="O94" s="3" t="s">
        <v>36</v>
      </c>
      <c r="P94" s="72">
        <v>0</v>
      </c>
      <c r="Q94" s="72">
        <v>0</v>
      </c>
      <c r="R94" s="72">
        <v>0</v>
      </c>
      <c r="S94" s="72">
        <v>0</v>
      </c>
      <c r="T94" s="72">
        <v>0</v>
      </c>
      <c r="U94" s="72">
        <v>0</v>
      </c>
      <c r="V94" s="72">
        <v>0</v>
      </c>
      <c r="W94" s="72">
        <v>0</v>
      </c>
      <c r="X94" s="72">
        <v>0</v>
      </c>
      <c r="Y94" s="72">
        <v>0</v>
      </c>
      <c r="Z94" s="72">
        <v>0</v>
      </c>
      <c r="AA94" s="72">
        <v>0</v>
      </c>
      <c r="AB94" s="72">
        <v>0</v>
      </c>
      <c r="AC94" s="72">
        <v>0</v>
      </c>
      <c r="AD94" s="72">
        <v>0</v>
      </c>
      <c r="AE94" s="72">
        <v>0</v>
      </c>
      <c r="AF94" s="72">
        <v>0</v>
      </c>
      <c r="AG94" s="72">
        <v>0</v>
      </c>
      <c r="AH94" s="72">
        <v>0</v>
      </c>
      <c r="AI94" s="72">
        <v>0</v>
      </c>
      <c r="AJ94" s="72">
        <v>0</v>
      </c>
      <c r="AK94" s="72">
        <v>0</v>
      </c>
      <c r="AL94" s="72">
        <v>0</v>
      </c>
      <c r="AM94" s="72">
        <v>0</v>
      </c>
      <c r="AN94" s="72">
        <v>0</v>
      </c>
      <c r="AO94" s="72">
        <v>0</v>
      </c>
      <c r="AP94" s="72">
        <v>0</v>
      </c>
      <c r="AQ94" s="72">
        <v>0</v>
      </c>
      <c r="AR94" s="72">
        <v>0</v>
      </c>
      <c r="AS94" s="73">
        <f t="shared" si="383"/>
        <v>0</v>
      </c>
      <c r="AT94" s="3"/>
    </row>
    <row r="95" spans="1:46" x14ac:dyDescent="0.25">
      <c r="A95" s="11" t="s">
        <v>154</v>
      </c>
      <c r="B95" s="11" t="s">
        <v>155</v>
      </c>
      <c r="C95" s="66" t="s">
        <v>132</v>
      </c>
      <c r="D95" s="67"/>
      <c r="E95" s="67"/>
      <c r="F95" s="67"/>
      <c r="G95" s="67"/>
      <c r="H95" s="67"/>
      <c r="I95" s="67"/>
      <c r="J95" s="11"/>
      <c r="K95" s="11"/>
      <c r="L95" s="11"/>
      <c r="M95" s="12"/>
      <c r="N95" s="11"/>
      <c r="O95" s="11" t="s">
        <v>156</v>
      </c>
      <c r="P95" s="74">
        <f>SUM(P90:P94)</f>
        <v>0</v>
      </c>
      <c r="Q95" s="74">
        <f t="shared" ref="Q95" si="384">SUM(Q90:Q94)</f>
        <v>0</v>
      </c>
      <c r="R95" s="74">
        <f t="shared" ref="R95" si="385">SUM(R90:R94)</f>
        <v>0</v>
      </c>
      <c r="S95" s="74">
        <f t="shared" ref="S95" si="386">SUM(S90:S94)</f>
        <v>0</v>
      </c>
      <c r="T95" s="74">
        <f t="shared" ref="T95" si="387">SUM(T90:T94)</f>
        <v>0</v>
      </c>
      <c r="U95" s="74">
        <f t="shared" ref="U95" si="388">SUM(U90:U94)</f>
        <v>0</v>
      </c>
      <c r="V95" s="74">
        <f t="shared" ref="V95" si="389">SUM(V90:V94)</f>
        <v>0</v>
      </c>
      <c r="W95" s="74">
        <f t="shared" ref="W95" si="390">SUM(W90:W94)</f>
        <v>0</v>
      </c>
      <c r="X95" s="74">
        <f t="shared" ref="X95" si="391">SUM(X90:X94)</f>
        <v>0</v>
      </c>
      <c r="Y95" s="74">
        <f t="shared" ref="Y95" si="392">SUM(Y90:Y94)</f>
        <v>0</v>
      </c>
      <c r="Z95" s="74">
        <f t="shared" ref="Z95" si="393">SUM(Z90:Z94)</f>
        <v>0</v>
      </c>
      <c r="AA95" s="74">
        <f t="shared" ref="AA95" si="394">SUM(AA90:AA94)</f>
        <v>0</v>
      </c>
      <c r="AB95" s="74">
        <f t="shared" ref="AB95" si="395">SUM(AB90:AB94)</f>
        <v>0</v>
      </c>
      <c r="AC95" s="74">
        <f t="shared" ref="AC95" si="396">SUM(AC90:AC94)</f>
        <v>0</v>
      </c>
      <c r="AD95" s="74">
        <f t="shared" ref="AD95" si="397">SUM(AD90:AD94)</f>
        <v>0</v>
      </c>
      <c r="AE95" s="74">
        <f t="shared" ref="AE95" si="398">SUM(AE90:AE94)</f>
        <v>0</v>
      </c>
      <c r="AF95" s="74">
        <f t="shared" ref="AF95" si="399">SUM(AF90:AF94)</f>
        <v>0</v>
      </c>
      <c r="AG95" s="74">
        <f t="shared" ref="AG95" si="400">SUM(AG90:AG94)</f>
        <v>0</v>
      </c>
      <c r="AH95" s="74">
        <f t="shared" ref="AH95" si="401">SUM(AH90:AH94)</f>
        <v>0</v>
      </c>
      <c r="AI95" s="74">
        <f t="shared" ref="AI95" si="402">SUM(AI90:AI94)</f>
        <v>0</v>
      </c>
      <c r="AJ95" s="74">
        <f t="shared" ref="AJ95" si="403">SUM(AJ90:AJ94)</f>
        <v>0</v>
      </c>
      <c r="AK95" s="74">
        <f t="shared" ref="AK95" si="404">SUM(AK90:AK94)</f>
        <v>0</v>
      </c>
      <c r="AL95" s="74">
        <f t="shared" ref="AL95" si="405">SUM(AL90:AL94)</f>
        <v>0</v>
      </c>
      <c r="AM95" s="74">
        <f t="shared" ref="AM95" si="406">SUM(AM90:AM94)</f>
        <v>0</v>
      </c>
      <c r="AN95" s="74">
        <f t="shared" ref="AN95" si="407">SUM(AN90:AN94)</f>
        <v>0</v>
      </c>
      <c r="AO95" s="74">
        <f t="shared" ref="AO95" si="408">SUM(AO90:AO94)</f>
        <v>0</v>
      </c>
      <c r="AP95" s="74">
        <f t="shared" ref="AP95" si="409">SUM(AP90:AP94)</f>
        <v>0</v>
      </c>
      <c r="AQ95" s="74">
        <f t="shared" ref="AQ95" si="410">SUM(AQ90:AQ94)</f>
        <v>0</v>
      </c>
      <c r="AR95" s="74">
        <f t="shared" ref="AR95" si="411">SUM(AR90:AR94)</f>
        <v>0</v>
      </c>
      <c r="AS95" s="74">
        <f>SUM(AS90:AS94)</f>
        <v>0</v>
      </c>
      <c r="AT95" s="11"/>
    </row>
    <row r="96" spans="1:46" x14ac:dyDescent="0.25">
      <c r="A96" s="55" t="s">
        <v>154</v>
      </c>
      <c r="B96" s="55" t="s">
        <v>135</v>
      </c>
      <c r="C96" s="40"/>
      <c r="D96" s="40"/>
      <c r="E96" s="40"/>
      <c r="F96" s="40"/>
      <c r="G96" s="40"/>
      <c r="H96" s="40"/>
      <c r="I96" s="40"/>
      <c r="J96" s="40"/>
      <c r="K96" s="40"/>
      <c r="L96" s="40"/>
      <c r="M96" s="40"/>
      <c r="N96" s="40"/>
      <c r="O96" s="9" t="s">
        <v>46</v>
      </c>
      <c r="P96" s="75">
        <f t="shared" ref="P96:AS96" si="412">SUM(P83,P89,P95)</f>
        <v>0</v>
      </c>
      <c r="Q96" s="75">
        <f t="shared" si="412"/>
        <v>0</v>
      </c>
      <c r="R96" s="75">
        <f t="shared" si="412"/>
        <v>0</v>
      </c>
      <c r="S96" s="75">
        <f t="shared" si="412"/>
        <v>0</v>
      </c>
      <c r="T96" s="75">
        <f t="shared" si="412"/>
        <v>0</v>
      </c>
      <c r="U96" s="75">
        <f t="shared" si="412"/>
        <v>0</v>
      </c>
      <c r="V96" s="75">
        <f t="shared" si="412"/>
        <v>0</v>
      </c>
      <c r="W96" s="75">
        <f t="shared" si="412"/>
        <v>0</v>
      </c>
      <c r="X96" s="75">
        <f t="shared" si="412"/>
        <v>0</v>
      </c>
      <c r="Y96" s="75">
        <f t="shared" si="412"/>
        <v>0</v>
      </c>
      <c r="Z96" s="75">
        <f t="shared" si="412"/>
        <v>0</v>
      </c>
      <c r="AA96" s="75">
        <f t="shared" si="412"/>
        <v>0</v>
      </c>
      <c r="AB96" s="75">
        <f t="shared" si="412"/>
        <v>0</v>
      </c>
      <c r="AC96" s="75">
        <f t="shared" si="412"/>
        <v>0</v>
      </c>
      <c r="AD96" s="75">
        <f t="shared" si="412"/>
        <v>0</v>
      </c>
      <c r="AE96" s="75">
        <f t="shared" si="412"/>
        <v>0</v>
      </c>
      <c r="AF96" s="75">
        <f t="shared" si="412"/>
        <v>0</v>
      </c>
      <c r="AG96" s="75">
        <f t="shared" si="412"/>
        <v>0</v>
      </c>
      <c r="AH96" s="75">
        <f t="shared" si="412"/>
        <v>0</v>
      </c>
      <c r="AI96" s="75">
        <f t="shared" si="412"/>
        <v>0</v>
      </c>
      <c r="AJ96" s="75">
        <f t="shared" si="412"/>
        <v>0</v>
      </c>
      <c r="AK96" s="75">
        <f t="shared" si="412"/>
        <v>0</v>
      </c>
      <c r="AL96" s="75">
        <f t="shared" si="412"/>
        <v>0</v>
      </c>
      <c r="AM96" s="75">
        <f t="shared" si="412"/>
        <v>0</v>
      </c>
      <c r="AN96" s="75">
        <f t="shared" si="412"/>
        <v>0</v>
      </c>
      <c r="AO96" s="75">
        <f t="shared" si="412"/>
        <v>0</v>
      </c>
      <c r="AP96" s="75">
        <f t="shared" si="412"/>
        <v>0</v>
      </c>
      <c r="AQ96" s="75">
        <f t="shared" si="412"/>
        <v>0</v>
      </c>
      <c r="AR96" s="75">
        <f t="shared" si="412"/>
        <v>0</v>
      </c>
      <c r="AS96" s="75">
        <f t="shared" si="412"/>
        <v>0</v>
      </c>
      <c r="AT96" s="56"/>
    </row>
  </sheetData>
  <mergeCells count="2">
    <mergeCell ref="C7:I7"/>
    <mergeCell ref="C13:I13"/>
  </mergeCells>
  <phoneticPr fontId="5" type="noConversion"/>
  <conditionalFormatting sqref="P2:AS6">
    <cfRule type="cellIs" dxfId="57" priority="20" operator="between">
      <formula>0.01</formula>
      <formula>10000</formula>
    </cfRule>
  </conditionalFormatting>
  <conditionalFormatting sqref="P8:AS12">
    <cfRule type="cellIs" dxfId="56" priority="19" operator="between">
      <formula>0.01</formula>
      <formula>10000</formula>
    </cfRule>
  </conditionalFormatting>
  <conditionalFormatting sqref="P14:AS18">
    <cfRule type="cellIs" dxfId="55" priority="18" operator="between">
      <formula>0.01</formula>
      <formula>10000</formula>
    </cfRule>
  </conditionalFormatting>
  <conditionalFormatting sqref="P21:AS25">
    <cfRule type="cellIs" dxfId="54" priority="12" operator="between">
      <formula>0.01</formula>
      <formula>10000</formula>
    </cfRule>
  </conditionalFormatting>
  <conditionalFormatting sqref="P27:AS31">
    <cfRule type="cellIs" dxfId="53" priority="11" operator="between">
      <formula>0.01</formula>
      <formula>10000</formula>
    </cfRule>
  </conditionalFormatting>
  <conditionalFormatting sqref="P33:AS37">
    <cfRule type="cellIs" dxfId="52" priority="10" operator="between">
      <formula>0.01</formula>
      <formula>10000</formula>
    </cfRule>
  </conditionalFormatting>
  <conditionalFormatting sqref="P40:AS44">
    <cfRule type="cellIs" dxfId="51" priority="9" operator="between">
      <formula>0.01</formula>
      <formula>10000</formula>
    </cfRule>
  </conditionalFormatting>
  <conditionalFormatting sqref="P46:AS50">
    <cfRule type="cellIs" dxfId="50" priority="8" operator="between">
      <formula>0.01</formula>
      <formula>10000</formula>
    </cfRule>
  </conditionalFormatting>
  <conditionalFormatting sqref="P52:AS56">
    <cfRule type="cellIs" dxfId="49" priority="7" operator="between">
      <formula>0.01</formula>
      <formula>10000</formula>
    </cfRule>
  </conditionalFormatting>
  <conditionalFormatting sqref="P59:AS63">
    <cfRule type="cellIs" dxfId="48" priority="6" operator="between">
      <formula>0.01</formula>
      <formula>10000</formula>
    </cfRule>
  </conditionalFormatting>
  <conditionalFormatting sqref="P65:AS69">
    <cfRule type="cellIs" dxfId="47" priority="5" operator="between">
      <formula>0.01</formula>
      <formula>10000</formula>
    </cfRule>
  </conditionalFormatting>
  <conditionalFormatting sqref="P71:AS75">
    <cfRule type="cellIs" dxfId="46" priority="4" operator="between">
      <formula>0.01</formula>
      <formula>10000</formula>
    </cfRule>
  </conditionalFormatting>
  <conditionalFormatting sqref="P78:AS82">
    <cfRule type="cellIs" dxfId="45" priority="3" operator="between">
      <formula>0.01</formula>
      <formula>10000</formula>
    </cfRule>
  </conditionalFormatting>
  <conditionalFormatting sqref="P84:AS88">
    <cfRule type="cellIs" dxfId="44" priority="2" operator="between">
      <formula>0.01</formula>
      <formula>10000</formula>
    </cfRule>
  </conditionalFormatting>
  <conditionalFormatting sqref="P90:AS94">
    <cfRule type="cellIs" dxfId="43" priority="1" operator="between">
      <formula>0.01</formula>
      <formula>10000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4D709-84F4-4F05-A8F8-4EB0BEAFA269}">
  <sheetPr codeName="Hoja2">
    <tabColor theme="4" tint="-0.499984740745262"/>
  </sheetPr>
  <dimension ref="A1:Q40"/>
  <sheetViews>
    <sheetView tabSelected="1" topLeftCell="A7" workbookViewId="0">
      <selection activeCell="G22" sqref="G22"/>
    </sheetView>
  </sheetViews>
  <sheetFormatPr baseColWidth="10" defaultRowHeight="15" x14ac:dyDescent="0.25"/>
  <cols>
    <col min="2" max="2" width="23.28515625" customWidth="1"/>
    <col min="3" max="3" width="10.28515625" style="6" bestFit="1" customWidth="1"/>
    <col min="5" max="5" width="20.5703125" bestFit="1" customWidth="1"/>
  </cols>
  <sheetData>
    <row r="1" spans="1:17" x14ac:dyDescent="0.25">
      <c r="A1" s="118" t="s">
        <v>157</v>
      </c>
      <c r="B1" s="119"/>
      <c r="C1" s="120"/>
      <c r="E1" s="115" t="s">
        <v>170</v>
      </c>
      <c r="F1" s="116"/>
      <c r="G1" s="116"/>
      <c r="H1" s="117"/>
    </row>
    <row r="2" spans="1:17" x14ac:dyDescent="0.25">
      <c r="A2" s="15" t="s">
        <v>49</v>
      </c>
      <c r="B2" s="15" t="s">
        <v>50</v>
      </c>
      <c r="C2" s="15" t="s">
        <v>48</v>
      </c>
      <c r="E2" s="15" t="s">
        <v>47</v>
      </c>
      <c r="F2" s="15" t="s">
        <v>48</v>
      </c>
      <c r="G2" s="15" t="s">
        <v>48</v>
      </c>
      <c r="H2" s="15" t="s">
        <v>49</v>
      </c>
    </row>
    <row r="3" spans="1:17" x14ac:dyDescent="0.25">
      <c r="A3" s="17" t="s">
        <v>52</v>
      </c>
      <c r="B3" s="18" t="s">
        <v>53</v>
      </c>
      <c r="C3" s="17" t="str">
        <f>TEXT($C$33,"0") &amp; "-" &amp; TEXT($C$34,"0")</f>
        <v>0-94</v>
      </c>
      <c r="E3" s="24" t="s">
        <v>130</v>
      </c>
      <c r="F3" s="77">
        <f>DIAGNÓSTICO!AS7</f>
        <v>93.15</v>
      </c>
      <c r="G3" s="58">
        <f>F3*100</f>
        <v>9315</v>
      </c>
      <c r="H3" s="16">
        <f>IF(G3&lt;$D$34,$A$16,IF(G3&lt;$D$36,$A$17,IF(G3&lt;$D$38,$A$18,IF(G3&lt;$D$40,$A$19,0))))</f>
        <v>0</v>
      </c>
    </row>
    <row r="4" spans="1:17" x14ac:dyDescent="0.25">
      <c r="A4" s="20" t="s">
        <v>55</v>
      </c>
      <c r="B4" s="21" t="s">
        <v>56</v>
      </c>
      <c r="C4" s="20" t="str">
        <f>TEXT($C$35,"0") &amp; "-" &amp; TEXT($C$36,"0")</f>
        <v>95-188</v>
      </c>
      <c r="E4" s="24" t="s">
        <v>131</v>
      </c>
      <c r="F4" s="77">
        <f>DIAGNÓSTICO!AS13</f>
        <v>65.55</v>
      </c>
      <c r="G4" s="58">
        <f t="shared" ref="G4:G5" si="0">F4*100</f>
        <v>6555</v>
      </c>
      <c r="H4" s="16">
        <f t="shared" ref="H4:H5" si="1">IF(G4&lt;$D$34,$A$16,IF(G4&lt;$D$36,$A$17,IF(G4&lt;$D$38,$A$18,IF(G4&lt;$D$40,$A$19,0))))</f>
        <v>0</v>
      </c>
    </row>
    <row r="5" spans="1:17" x14ac:dyDescent="0.25">
      <c r="A5" s="16" t="s">
        <v>51</v>
      </c>
      <c r="B5" s="22" t="s">
        <v>57</v>
      </c>
      <c r="C5" s="16" t="str">
        <f>TEXT($C$37,"0") &amp; "-" &amp; TEXT($C$38,"0")</f>
        <v>189-281</v>
      </c>
      <c r="E5" s="24" t="s">
        <v>132</v>
      </c>
      <c r="F5" s="77">
        <f>DIAGNÓSTICO!AS19</f>
        <v>89.700000000000017</v>
      </c>
      <c r="G5" s="63">
        <f t="shared" si="0"/>
        <v>8970.0000000000018</v>
      </c>
      <c r="H5" s="16">
        <f t="shared" si="1"/>
        <v>0</v>
      </c>
    </row>
    <row r="6" spans="1:17" x14ac:dyDescent="0.25">
      <c r="A6" s="19" t="s">
        <v>54</v>
      </c>
      <c r="B6" s="23" t="s">
        <v>58</v>
      </c>
      <c r="C6" s="19" t="str">
        <f>TEXT($C$39,"0") &amp; "-" &amp; TEXT($C$40,"0")</f>
        <v>282-375</v>
      </c>
      <c r="E6" s="15" t="s">
        <v>59</v>
      </c>
      <c r="F6" s="78">
        <f>SUM(F3:F5)</f>
        <v>248.4</v>
      </c>
      <c r="G6" s="58">
        <f>SUM(G3:G5)</f>
        <v>24840</v>
      </c>
      <c r="H6" s="16">
        <f>IF(G6&lt;C34,A3,IF(G6&lt;C36,A4,IF(G6&lt;C38,A5,IF(G6&lt;C40,A6,0))))</f>
        <v>0</v>
      </c>
    </row>
    <row r="7" spans="1:17" x14ac:dyDescent="0.25">
      <c r="E7" s="115" t="s">
        <v>171</v>
      </c>
      <c r="F7" s="116"/>
      <c r="G7" s="116"/>
      <c r="H7" s="117"/>
    </row>
    <row r="8" spans="1:17" x14ac:dyDescent="0.25">
      <c r="E8" s="15" t="s">
        <v>47</v>
      </c>
      <c r="F8" s="15" t="s">
        <v>48</v>
      </c>
      <c r="G8" s="15" t="s">
        <v>48</v>
      </c>
      <c r="H8" s="15" t="s">
        <v>49</v>
      </c>
    </row>
    <row r="9" spans="1:17" ht="23.25" x14ac:dyDescent="0.25">
      <c r="E9" s="24" t="s">
        <v>130</v>
      </c>
      <c r="F9" s="77">
        <f>DIAGNÓSTICO!AS26</f>
        <v>0</v>
      </c>
      <c r="G9" s="58">
        <f>F9*100</f>
        <v>0</v>
      </c>
      <c r="H9" s="16" t="str">
        <f>IF(G9&lt;$D$34,$A$16,IF(G9&lt;$D$36,$A$17,IF(G9&lt;$D$38,$A$18,IF(G9&lt;$D$40,$A$19,0))))</f>
        <v>Q1</v>
      </c>
      <c r="Q9" s="126"/>
    </row>
    <row r="10" spans="1:17" x14ac:dyDescent="0.25">
      <c r="E10" s="24" t="s">
        <v>131</v>
      </c>
      <c r="F10" s="77">
        <f>DIAGNÓSTICO!AS32</f>
        <v>0</v>
      </c>
      <c r="G10" s="58">
        <f t="shared" ref="G10:G11" si="2">F10*100</f>
        <v>0</v>
      </c>
      <c r="H10" s="16" t="str">
        <f t="shared" ref="H10:H11" si="3">IF(G10&lt;$D$34,$A$16,IF(G10&lt;$D$36,$A$17,IF(G10&lt;$D$38,$A$18,IF(G10&lt;$D$40,$A$19,0))))</f>
        <v>Q1</v>
      </c>
      <c r="Q10" s="127"/>
    </row>
    <row r="11" spans="1:17" x14ac:dyDescent="0.25">
      <c r="E11" s="24" t="s">
        <v>132</v>
      </c>
      <c r="F11" s="77">
        <f>DIAGNÓSTICO!AS38</f>
        <v>0</v>
      </c>
      <c r="G11" s="63">
        <f t="shared" si="2"/>
        <v>0</v>
      </c>
      <c r="H11" s="16" t="str">
        <f t="shared" si="3"/>
        <v>Q1</v>
      </c>
      <c r="Q11" s="127"/>
    </row>
    <row r="12" spans="1:17" x14ac:dyDescent="0.25">
      <c r="E12" s="15" t="s">
        <v>59</v>
      </c>
      <c r="F12" s="78">
        <f>SUM(F9:F11)</f>
        <v>0</v>
      </c>
      <c r="G12" s="58">
        <f>SUM(G9:G11)</f>
        <v>0</v>
      </c>
      <c r="H12" s="16">
        <f>IF(G12&lt;C40,A9,IF(G12&lt;C42,A10,IF(G12&lt;C44,A11,IF(G12&lt;C46,A12,0))))</f>
        <v>0</v>
      </c>
      <c r="Q12" s="127"/>
    </row>
    <row r="13" spans="1:17" x14ac:dyDescent="0.25">
      <c r="E13" s="115" t="s">
        <v>172</v>
      </c>
      <c r="F13" s="116"/>
      <c r="G13" s="116"/>
      <c r="H13" s="117"/>
      <c r="Q13" s="127"/>
    </row>
    <row r="14" spans="1:17" x14ac:dyDescent="0.25">
      <c r="A14" s="118" t="s">
        <v>158</v>
      </c>
      <c r="B14" s="119"/>
      <c r="C14" s="120"/>
      <c r="E14" s="15" t="s">
        <v>47</v>
      </c>
      <c r="F14" s="15" t="s">
        <v>48</v>
      </c>
      <c r="G14" s="15" t="s">
        <v>48</v>
      </c>
      <c r="H14" s="15" t="s">
        <v>49</v>
      </c>
      <c r="Q14" s="127"/>
    </row>
    <row r="15" spans="1:17" x14ac:dyDescent="0.25">
      <c r="A15" s="15" t="s">
        <v>49</v>
      </c>
      <c r="B15" s="15" t="s">
        <v>50</v>
      </c>
      <c r="C15" s="15" t="s">
        <v>48</v>
      </c>
      <c r="E15" s="24" t="s">
        <v>130</v>
      </c>
      <c r="F15" s="77">
        <f>DIAGNÓSTICO!AS45</f>
        <v>0</v>
      </c>
      <c r="G15" s="58">
        <f>F15*100</f>
        <v>0</v>
      </c>
      <c r="H15" s="16" t="str">
        <f>IF(G15&lt;$D$34,$A$16,IF(G15&lt;$D$36,$A$17,IF(G15&lt;$D$38,$A$18,IF(G15&lt;$D$40,$A$19,0))))</f>
        <v>Q1</v>
      </c>
      <c r="Q15" s="127"/>
    </row>
    <row r="16" spans="1:17" x14ac:dyDescent="0.25">
      <c r="A16" s="17" t="s">
        <v>52</v>
      </c>
      <c r="B16" s="18" t="s">
        <v>53</v>
      </c>
      <c r="C16" s="17" t="str">
        <f>TEXT(D33,"0") &amp; "-" &amp; TEXT(D34,"0")</f>
        <v>0-31</v>
      </c>
      <c r="E16" s="24" t="s">
        <v>131</v>
      </c>
      <c r="F16" s="77">
        <f>DIAGNÓSTICO!AS51</f>
        <v>0</v>
      </c>
      <c r="G16" s="58">
        <f t="shared" ref="G16:G17" si="4">F16*100</f>
        <v>0</v>
      </c>
      <c r="H16" s="16" t="str">
        <f t="shared" ref="H16:H17" si="5">IF(G16&lt;$D$34,$A$16,IF(G16&lt;$D$36,$A$17,IF(G16&lt;$D$38,$A$18,IF(G16&lt;$D$40,$A$19,0))))</f>
        <v>Q1</v>
      </c>
      <c r="Q16" s="127"/>
    </row>
    <row r="17" spans="1:17" x14ac:dyDescent="0.25">
      <c r="A17" s="20" t="s">
        <v>55</v>
      </c>
      <c r="B17" s="21" t="s">
        <v>56</v>
      </c>
      <c r="C17" s="20" t="str">
        <f>TEXT(D35,"0") &amp; "-" &amp; TEXT(D36,"0")</f>
        <v>32-63</v>
      </c>
      <c r="E17" s="24" t="s">
        <v>132</v>
      </c>
      <c r="F17" s="77">
        <f>DIAGNÓSTICO!AS57</f>
        <v>0</v>
      </c>
      <c r="G17" s="63">
        <f t="shared" si="4"/>
        <v>0</v>
      </c>
      <c r="H17" s="16" t="str">
        <f t="shared" si="5"/>
        <v>Q1</v>
      </c>
      <c r="Q17" s="127"/>
    </row>
    <row r="18" spans="1:17" x14ac:dyDescent="0.25">
      <c r="A18" s="16" t="s">
        <v>51</v>
      </c>
      <c r="B18" s="22" t="s">
        <v>57</v>
      </c>
      <c r="C18" s="16" t="str">
        <f>TEXT(D37,"0") &amp; "-" &amp; TEXT(D38,"0")</f>
        <v>64-94</v>
      </c>
      <c r="E18" s="15" t="s">
        <v>59</v>
      </c>
      <c r="F18" s="78">
        <f>SUM(F15:F17)</f>
        <v>0</v>
      </c>
      <c r="G18" s="58">
        <f>SUM(G15:G17)</f>
        <v>0</v>
      </c>
      <c r="H18" s="16">
        <f>IF(G18&lt;C46,A15,IF(G18&lt;C48,A16,IF(G18&lt;C50,A17,IF(G18&lt;C52,A18,0))))</f>
        <v>0</v>
      </c>
      <c r="Q18" s="127"/>
    </row>
    <row r="19" spans="1:17" x14ac:dyDescent="0.25">
      <c r="A19" s="19" t="s">
        <v>54</v>
      </c>
      <c r="B19" s="23" t="s">
        <v>58</v>
      </c>
      <c r="C19" s="19" t="str">
        <f>TEXT(D39,"0") &amp; "-" &amp; TEXT(D40,"0")</f>
        <v>95-125</v>
      </c>
      <c r="E19" s="115" t="s">
        <v>173</v>
      </c>
      <c r="F19" s="116"/>
      <c r="G19" s="116"/>
      <c r="H19" s="117"/>
    </row>
    <row r="20" spans="1:17" x14ac:dyDescent="0.25">
      <c r="E20" s="15" t="s">
        <v>47</v>
      </c>
      <c r="F20" s="15" t="s">
        <v>48</v>
      </c>
      <c r="G20" s="15" t="s">
        <v>48</v>
      </c>
      <c r="H20" s="15" t="s">
        <v>49</v>
      </c>
    </row>
    <row r="21" spans="1:17" x14ac:dyDescent="0.25">
      <c r="E21" s="24" t="s">
        <v>130</v>
      </c>
      <c r="F21" s="77">
        <f>DIAGNÓSTICO!AS64</f>
        <v>0</v>
      </c>
      <c r="G21" s="58">
        <f>F21*100</f>
        <v>0</v>
      </c>
      <c r="H21" s="16" t="str">
        <f>IF(G21&lt;$D$34,$A$16,IF(G21&lt;$D$36,$A$17,IF(G21&lt;$D$38,$A$18,IF(G21&lt;$D$40,$A$19,0))))</f>
        <v>Q1</v>
      </c>
    </row>
    <row r="22" spans="1:17" x14ac:dyDescent="0.25">
      <c r="B22" s="57" t="s">
        <v>159</v>
      </c>
      <c r="C22" s="57" t="s">
        <v>165</v>
      </c>
      <c r="E22" s="24" t="s">
        <v>131</v>
      </c>
      <c r="F22" s="77">
        <f>DIAGNÓSTICO!AS70</f>
        <v>0</v>
      </c>
      <c r="G22" s="58">
        <f t="shared" ref="G22:G23" si="6">F22*100</f>
        <v>0</v>
      </c>
      <c r="H22" s="16" t="str">
        <f t="shared" ref="H22:H23" si="7">IF(G22&lt;$D$34,$A$16,IF(G22&lt;$D$36,$A$17,IF(G22&lt;$D$38,$A$18,IF(G22&lt;$D$40,$A$19,0))))</f>
        <v>Q1</v>
      </c>
    </row>
    <row r="23" spans="1:17" x14ac:dyDescent="0.25">
      <c r="B23" s="29" t="s">
        <v>166</v>
      </c>
      <c r="C23" s="58">
        <v>3</v>
      </c>
      <c r="E23" s="24" t="s">
        <v>132</v>
      </c>
      <c r="F23" s="77">
        <f>DIAGNÓSTICO!AS76</f>
        <v>0</v>
      </c>
      <c r="G23" s="63">
        <f t="shared" si="6"/>
        <v>0</v>
      </c>
      <c r="H23" s="16" t="str">
        <f t="shared" si="7"/>
        <v>Q1</v>
      </c>
    </row>
    <row r="24" spans="1:17" x14ac:dyDescent="0.25">
      <c r="B24" s="59" t="s">
        <v>160</v>
      </c>
      <c r="C24" s="60">
        <v>29</v>
      </c>
      <c r="E24" s="15" t="s">
        <v>59</v>
      </c>
      <c r="F24" s="78">
        <f>SUM(F21:F23)</f>
        <v>0</v>
      </c>
      <c r="G24" s="58">
        <f>SUM(G21:G23)</f>
        <v>0</v>
      </c>
      <c r="H24" s="16">
        <f>IF(G24&lt;C52,A21,IF(G24&lt;C54,A22,IF(G24&lt;C56,A23,IF(G24&lt;C58,A24,0))))</f>
        <v>0</v>
      </c>
    </row>
    <row r="25" spans="1:17" x14ac:dyDescent="0.25">
      <c r="B25" s="29" t="s">
        <v>161</v>
      </c>
      <c r="C25" s="58">
        <f>COUNTA(DIAGNÓSTICO!B8:B12)</f>
        <v>5</v>
      </c>
      <c r="E25" s="115" t="s">
        <v>174</v>
      </c>
      <c r="F25" s="116"/>
      <c r="G25" s="116"/>
      <c r="H25" s="117"/>
    </row>
    <row r="26" spans="1:17" x14ac:dyDescent="0.25">
      <c r="B26" s="59" t="s">
        <v>243</v>
      </c>
      <c r="C26" s="61">
        <v>3.45</v>
      </c>
      <c r="E26" s="15" t="s">
        <v>47</v>
      </c>
      <c r="F26" s="15" t="s">
        <v>48</v>
      </c>
      <c r="G26" s="15" t="s">
        <v>48</v>
      </c>
      <c r="H26" s="15" t="s">
        <v>49</v>
      </c>
    </row>
    <row r="27" spans="1:17" x14ac:dyDescent="0.25">
      <c r="B27" s="29" t="s">
        <v>162</v>
      </c>
      <c r="C27" s="58">
        <f>C23*C24*C25*C26</f>
        <v>1500.75</v>
      </c>
      <c r="E27" s="24" t="s">
        <v>130</v>
      </c>
      <c r="F27" s="77">
        <f>DIAGNÓSTICO!AS83</f>
        <v>0</v>
      </c>
      <c r="G27" s="58">
        <f>F27*100</f>
        <v>0</v>
      </c>
      <c r="H27" s="16" t="str">
        <f>IF(G27&lt;$D$34,$A$16,IF(G27&lt;$D$36,$A$17,IF(G27&lt;$D$38,$A$18,IF(G27&lt;$D$40,$A$19,0))))</f>
        <v>Q1</v>
      </c>
    </row>
    <row r="28" spans="1:17" x14ac:dyDescent="0.25">
      <c r="B28" s="59" t="s">
        <v>163</v>
      </c>
      <c r="C28" s="60">
        <f>C27/4</f>
        <v>375.1875</v>
      </c>
      <c r="E28" s="24" t="s">
        <v>131</v>
      </c>
      <c r="F28" s="77">
        <f>DIAGNÓSTICO!AS89</f>
        <v>0</v>
      </c>
      <c r="G28" s="58">
        <f t="shared" ref="G28:G29" si="8">F28*100</f>
        <v>0</v>
      </c>
      <c r="H28" s="16" t="str">
        <f t="shared" ref="H28:H29" si="9">IF(G28&lt;$D$34,$A$16,IF(G28&lt;$D$36,$A$17,IF(G28&lt;$D$38,$A$18,IF(G28&lt;$D$40,$A$19,0))))</f>
        <v>Q1</v>
      </c>
    </row>
    <row r="29" spans="1:17" x14ac:dyDescent="0.25">
      <c r="B29" s="29" t="s">
        <v>164</v>
      </c>
      <c r="C29" s="58">
        <f>C28/4</f>
        <v>93.796875</v>
      </c>
      <c r="E29" s="24" t="s">
        <v>132</v>
      </c>
      <c r="F29" s="77">
        <f>DIAGNÓSTICO!AS95</f>
        <v>0</v>
      </c>
      <c r="G29" s="63">
        <f t="shared" si="8"/>
        <v>0</v>
      </c>
      <c r="H29" s="16" t="str">
        <f t="shared" si="9"/>
        <v>Q1</v>
      </c>
    </row>
    <row r="30" spans="1:17" x14ac:dyDescent="0.25">
      <c r="B30" s="59" t="s">
        <v>167</v>
      </c>
      <c r="C30" s="60">
        <f>C28/3</f>
        <v>125.0625</v>
      </c>
      <c r="E30" s="15" t="s">
        <v>59</v>
      </c>
      <c r="F30" s="78">
        <f>SUM(F27:F29)</f>
        <v>0</v>
      </c>
      <c r="G30" s="58">
        <f>SUM(G27:G29)</f>
        <v>0</v>
      </c>
      <c r="H30" s="16">
        <f>IF(G30&lt;C58,A27,IF(G30&lt;C60,A28,IF(G30&lt;C62,A29,IF(G30&lt;C64,A30,0))))</f>
        <v>0</v>
      </c>
    </row>
    <row r="31" spans="1:17" x14ac:dyDescent="0.25">
      <c r="B31" s="29" t="s">
        <v>168</v>
      </c>
      <c r="C31" s="58">
        <f>C30/4</f>
        <v>31.265625</v>
      </c>
    </row>
    <row r="32" spans="1:17" x14ac:dyDescent="0.25">
      <c r="C32" s="29" t="s">
        <v>169</v>
      </c>
      <c r="D32" s="14" t="s">
        <v>169</v>
      </c>
    </row>
    <row r="33" spans="3:6" x14ac:dyDescent="0.25">
      <c r="C33" s="29">
        <v>0</v>
      </c>
      <c r="D33" s="29">
        <v>0</v>
      </c>
      <c r="E33" s="62"/>
      <c r="F33" s="62"/>
    </row>
    <row r="34" spans="3:6" x14ac:dyDescent="0.25">
      <c r="C34" s="58">
        <f>C28/4</f>
        <v>93.796875</v>
      </c>
      <c r="D34" s="58">
        <v>31.265625</v>
      </c>
      <c r="E34" s="62"/>
      <c r="F34" s="62"/>
    </row>
    <row r="35" spans="3:6" x14ac:dyDescent="0.25">
      <c r="C35" s="58">
        <f>C34+1</f>
        <v>94.796875</v>
      </c>
      <c r="D35" s="58">
        <f>D34+1</f>
        <v>32.265625</v>
      </c>
      <c r="E35" s="62"/>
      <c r="F35" s="62"/>
    </row>
    <row r="36" spans="3:6" x14ac:dyDescent="0.25">
      <c r="C36" s="58">
        <f>C34+C34</f>
        <v>187.59375</v>
      </c>
      <c r="D36" s="58">
        <f>D34+D34</f>
        <v>62.53125</v>
      </c>
      <c r="E36" s="62"/>
      <c r="F36" s="62"/>
    </row>
    <row r="37" spans="3:6" x14ac:dyDescent="0.25">
      <c r="C37" s="58">
        <f>C36+1</f>
        <v>188.59375</v>
      </c>
      <c r="D37" s="58">
        <f>D36+1</f>
        <v>63.53125</v>
      </c>
      <c r="E37" s="62"/>
      <c r="F37" s="62"/>
    </row>
    <row r="38" spans="3:6" x14ac:dyDescent="0.25">
      <c r="C38" s="58">
        <f>C36+C34</f>
        <v>281.390625</v>
      </c>
      <c r="D38" s="58">
        <f>D36+D34</f>
        <v>93.796875</v>
      </c>
      <c r="E38" s="62"/>
      <c r="F38" s="62"/>
    </row>
    <row r="39" spans="3:6" x14ac:dyDescent="0.25">
      <c r="C39" s="58">
        <f>C38+1</f>
        <v>282.390625</v>
      </c>
      <c r="D39" s="58">
        <f>D38+1</f>
        <v>94.796875</v>
      </c>
      <c r="E39" s="62"/>
      <c r="F39" s="62"/>
    </row>
    <row r="40" spans="3:6" x14ac:dyDescent="0.25">
      <c r="C40" s="58">
        <f>C38+C34</f>
        <v>375.1875</v>
      </c>
      <c r="D40" s="58">
        <f>D38+D34</f>
        <v>125.0625</v>
      </c>
      <c r="E40" s="62"/>
      <c r="F40" s="62"/>
    </row>
  </sheetData>
  <mergeCells count="7">
    <mergeCell ref="E25:H25"/>
    <mergeCell ref="A1:C1"/>
    <mergeCell ref="A14:C14"/>
    <mergeCell ref="E1:H1"/>
    <mergeCell ref="E7:H7"/>
    <mergeCell ref="E13:H13"/>
    <mergeCell ref="E19:H19"/>
  </mergeCells>
  <phoneticPr fontId="5" type="noConversion"/>
  <pageMargins left="0.7" right="0.7" top="0.75" bottom="0.75" header="0.3" footer="0.3"/>
  <ignoredErrors>
    <ignoredError sqref="C30" formula="1"/>
  </ignoredErrors>
  <extLst>
    <ext xmlns:x14="http://schemas.microsoft.com/office/spreadsheetml/2009/9/main" uri="{78C0D931-6437-407d-A8EE-F0AAD7539E65}">
      <x14:conditionalFormattings>
        <x14:conditionalFormatting xmlns:xm="http://schemas.microsoft.com/office/excel/2006/main">
          <x14:cfRule type="containsText" priority="33" operator="containsText" id="{B7921792-65A4-4688-A184-04E5DE6FB0EB}">
            <xm:f>NOT(ISERROR(SEARCH($A$19,H3)))</xm:f>
            <xm:f>$A$19</xm:f>
            <x14:dxf>
              <font>
                <b/>
                <i val="0"/>
                <color theme="0"/>
              </font>
              <fill>
                <patternFill>
                  <bgColor rgb="FFC00000"/>
                </patternFill>
              </fill>
            </x14:dxf>
          </x14:cfRule>
          <x14:cfRule type="containsText" priority="34" operator="containsText" id="{6DEAC99A-FF75-4A9A-9713-3CDF3F2905CD}">
            <xm:f>NOT(ISERROR(SEARCH($A$18,H3)))</xm:f>
            <xm:f>$A$18</xm:f>
            <x14:dxf>
              <font>
                <b/>
                <i val="0"/>
                <color theme="1"/>
              </font>
              <fill>
                <patternFill>
                  <bgColor rgb="FFFFFF00"/>
                </patternFill>
              </fill>
            </x14:dxf>
          </x14:cfRule>
          <x14:cfRule type="containsText" priority="35" operator="containsText" id="{B49E1F28-B97D-487A-BCD8-D26296EBCF19}">
            <xm:f>NOT(ISERROR(SEARCH($A$17,H3)))</xm:f>
            <xm:f>$A$17</xm:f>
            <x14:dxf>
              <font>
                <b/>
                <i val="0"/>
                <color theme="1"/>
              </font>
              <fill>
                <patternFill>
                  <bgColor theme="9" tint="0.39994506668294322"/>
                </patternFill>
              </fill>
            </x14:dxf>
          </x14:cfRule>
          <x14:cfRule type="containsText" priority="36" operator="containsText" id="{4401395B-0AE6-437B-ADD5-0C9D7FD69406}">
            <xm:f>NOT(ISERROR(SEARCH($A$16,H3)))</xm:f>
            <xm:f>$A$16</xm:f>
            <x14:dxf>
              <font>
                <b/>
                <i val="0"/>
                <color theme="0"/>
              </font>
              <fill>
                <patternFill>
                  <bgColor theme="9" tint="-0.499984740745262"/>
                </patternFill>
              </fill>
            </x14:dxf>
          </x14:cfRule>
          <xm:sqref>H3:H6</xm:sqref>
        </x14:conditionalFormatting>
        <x14:conditionalFormatting xmlns:xm="http://schemas.microsoft.com/office/excel/2006/main">
          <x14:cfRule type="containsText" priority="25" operator="containsText" id="{B01209C6-4A8F-4937-9AD7-9A2147332079}">
            <xm:f>NOT(ISERROR(SEARCH($A$19,H9)))</xm:f>
            <xm:f>$A$19</xm:f>
            <x14:dxf>
              <font>
                <b/>
                <i val="0"/>
                <color theme="0"/>
              </font>
              <fill>
                <patternFill>
                  <bgColor rgb="FFC00000"/>
                </patternFill>
              </fill>
            </x14:dxf>
          </x14:cfRule>
          <x14:cfRule type="containsText" priority="26" operator="containsText" id="{1DFCF4A1-29F0-4FBB-A89F-4401D31FDCC3}">
            <xm:f>NOT(ISERROR(SEARCH($A$18,H9)))</xm:f>
            <xm:f>$A$18</xm:f>
            <x14:dxf>
              <font>
                <b/>
                <i val="0"/>
                <color theme="1"/>
              </font>
              <fill>
                <patternFill>
                  <bgColor rgb="FFFFFF00"/>
                </patternFill>
              </fill>
            </x14:dxf>
          </x14:cfRule>
          <x14:cfRule type="containsText" priority="27" operator="containsText" id="{6519725B-5363-4C81-B6C0-EDAFC2F259BC}">
            <xm:f>NOT(ISERROR(SEARCH($A$17,H9)))</xm:f>
            <xm:f>$A$17</xm:f>
            <x14:dxf>
              <font>
                <b/>
                <i val="0"/>
                <color theme="1"/>
              </font>
              <fill>
                <patternFill>
                  <bgColor theme="9" tint="0.39994506668294322"/>
                </patternFill>
              </fill>
            </x14:dxf>
          </x14:cfRule>
          <x14:cfRule type="containsText" priority="28" operator="containsText" id="{3D75DFCF-748A-4ED9-9983-B7E05C7235A0}">
            <xm:f>NOT(ISERROR(SEARCH($A$16,H9)))</xm:f>
            <xm:f>$A$16</xm:f>
            <x14:dxf>
              <font>
                <b/>
                <i val="0"/>
                <color theme="0"/>
              </font>
              <fill>
                <patternFill>
                  <bgColor theme="9" tint="-0.499984740745262"/>
                </patternFill>
              </fill>
            </x14:dxf>
          </x14:cfRule>
          <xm:sqref>H9:H12</xm:sqref>
        </x14:conditionalFormatting>
        <x14:conditionalFormatting xmlns:xm="http://schemas.microsoft.com/office/excel/2006/main">
          <x14:cfRule type="containsText" priority="17" operator="containsText" id="{05A7390A-EB6B-43DB-95F8-C5E3DA196D39}">
            <xm:f>NOT(ISERROR(SEARCH($A$19,H15)))</xm:f>
            <xm:f>$A$19</xm:f>
            <x14:dxf>
              <font>
                <b/>
                <i val="0"/>
                <color theme="0"/>
              </font>
              <fill>
                <patternFill>
                  <bgColor rgb="FFC00000"/>
                </patternFill>
              </fill>
            </x14:dxf>
          </x14:cfRule>
          <x14:cfRule type="containsText" priority="18" operator="containsText" id="{5D5C18F0-2F02-4252-8901-EBF37C4E6FAD}">
            <xm:f>NOT(ISERROR(SEARCH($A$18,H15)))</xm:f>
            <xm:f>$A$18</xm:f>
            <x14:dxf>
              <font>
                <b/>
                <i val="0"/>
                <color theme="1"/>
              </font>
              <fill>
                <patternFill>
                  <bgColor rgb="FFFFFF00"/>
                </patternFill>
              </fill>
            </x14:dxf>
          </x14:cfRule>
          <x14:cfRule type="containsText" priority="19" operator="containsText" id="{67B54600-3B24-4BEC-980E-4C310CE871B8}">
            <xm:f>NOT(ISERROR(SEARCH($A$17,H15)))</xm:f>
            <xm:f>$A$17</xm:f>
            <x14:dxf>
              <font>
                <b/>
                <i val="0"/>
                <color theme="1"/>
              </font>
              <fill>
                <patternFill>
                  <bgColor theme="9" tint="0.39994506668294322"/>
                </patternFill>
              </fill>
            </x14:dxf>
          </x14:cfRule>
          <x14:cfRule type="containsText" priority="20" operator="containsText" id="{ED1E1A01-8FF9-49C3-8207-985C55FDA108}">
            <xm:f>NOT(ISERROR(SEARCH($A$16,H15)))</xm:f>
            <xm:f>$A$16</xm:f>
            <x14:dxf>
              <font>
                <b/>
                <i val="0"/>
                <color theme="0"/>
              </font>
              <fill>
                <patternFill>
                  <bgColor theme="9" tint="-0.499984740745262"/>
                </patternFill>
              </fill>
            </x14:dxf>
          </x14:cfRule>
          <xm:sqref>H15:H18</xm:sqref>
        </x14:conditionalFormatting>
        <x14:conditionalFormatting xmlns:xm="http://schemas.microsoft.com/office/excel/2006/main">
          <x14:cfRule type="containsText" priority="9" operator="containsText" id="{6FADA207-958B-4429-B63B-FE78CD4DAFB0}">
            <xm:f>NOT(ISERROR(SEARCH($A$19,H21)))</xm:f>
            <xm:f>$A$19</xm:f>
            <x14:dxf>
              <font>
                <b/>
                <i val="0"/>
                <color theme="0"/>
              </font>
              <fill>
                <patternFill>
                  <bgColor rgb="FFC00000"/>
                </patternFill>
              </fill>
            </x14:dxf>
          </x14:cfRule>
          <x14:cfRule type="containsText" priority="10" operator="containsText" id="{5A01B222-E4F4-4536-8581-6AC5ED1D610F}">
            <xm:f>NOT(ISERROR(SEARCH($A$18,H21)))</xm:f>
            <xm:f>$A$18</xm:f>
            <x14:dxf>
              <font>
                <b/>
                <i val="0"/>
                <color theme="1"/>
              </font>
              <fill>
                <patternFill>
                  <bgColor rgb="FFFFFF00"/>
                </patternFill>
              </fill>
            </x14:dxf>
          </x14:cfRule>
          <x14:cfRule type="containsText" priority="11" operator="containsText" id="{BBDAA139-2849-4A1D-A6A1-B5C0CF1212AB}">
            <xm:f>NOT(ISERROR(SEARCH($A$17,H21)))</xm:f>
            <xm:f>$A$17</xm:f>
            <x14:dxf>
              <font>
                <b/>
                <i val="0"/>
                <color theme="1"/>
              </font>
              <fill>
                <patternFill>
                  <bgColor theme="9" tint="0.39994506668294322"/>
                </patternFill>
              </fill>
            </x14:dxf>
          </x14:cfRule>
          <x14:cfRule type="containsText" priority="12" operator="containsText" id="{84C0F0AD-D4E9-4438-B444-81A26A207BE4}">
            <xm:f>NOT(ISERROR(SEARCH($A$16,H21)))</xm:f>
            <xm:f>$A$16</xm:f>
            <x14:dxf>
              <font>
                <b/>
                <i val="0"/>
                <color theme="0"/>
              </font>
              <fill>
                <patternFill>
                  <bgColor theme="9" tint="-0.499984740745262"/>
                </patternFill>
              </fill>
            </x14:dxf>
          </x14:cfRule>
          <xm:sqref>H21:H24</xm:sqref>
        </x14:conditionalFormatting>
        <x14:conditionalFormatting xmlns:xm="http://schemas.microsoft.com/office/excel/2006/main">
          <x14:cfRule type="containsText" priority="1" operator="containsText" id="{97B8A097-D1DA-4960-A9B6-B48E017C8F7D}">
            <xm:f>NOT(ISERROR(SEARCH($A$19,H27)))</xm:f>
            <xm:f>$A$19</xm:f>
            <x14:dxf>
              <font>
                <b/>
                <i val="0"/>
                <color theme="0"/>
              </font>
              <fill>
                <patternFill>
                  <bgColor rgb="FFC00000"/>
                </patternFill>
              </fill>
            </x14:dxf>
          </x14:cfRule>
          <x14:cfRule type="containsText" priority="2" operator="containsText" id="{7729E26F-70C7-4642-9E71-DAE50D962B76}">
            <xm:f>NOT(ISERROR(SEARCH($A$18,H27)))</xm:f>
            <xm:f>$A$18</xm:f>
            <x14:dxf>
              <font>
                <b/>
                <i val="0"/>
                <color theme="1"/>
              </font>
              <fill>
                <patternFill>
                  <bgColor rgb="FFFFFF00"/>
                </patternFill>
              </fill>
            </x14:dxf>
          </x14:cfRule>
          <x14:cfRule type="containsText" priority="3" operator="containsText" id="{31394622-2A0A-4F2C-91E6-09958FA1CE9C}">
            <xm:f>NOT(ISERROR(SEARCH($A$17,H27)))</xm:f>
            <xm:f>$A$17</xm:f>
            <x14:dxf>
              <font>
                <b/>
                <i val="0"/>
                <color theme="1"/>
              </font>
              <fill>
                <patternFill>
                  <bgColor theme="9" tint="0.39994506668294322"/>
                </patternFill>
              </fill>
            </x14:dxf>
          </x14:cfRule>
          <x14:cfRule type="containsText" priority="4" operator="containsText" id="{C2DF6249-9367-4473-8095-CA53E5762FCF}">
            <xm:f>NOT(ISERROR(SEARCH($A$16,H27)))</xm:f>
            <xm:f>$A$16</xm:f>
            <x14:dxf>
              <font>
                <b/>
                <i val="0"/>
                <color theme="0"/>
              </font>
              <fill>
                <patternFill>
                  <bgColor theme="9" tint="-0.499984740745262"/>
                </patternFill>
              </fill>
            </x14:dxf>
          </x14:cfRule>
          <xm:sqref>H27:H30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A7F52-D7FF-4829-A050-ACC5E306F658}">
  <sheetPr codeName="Hoja3">
    <tabColor theme="5" tint="-0.499984740745262"/>
  </sheetPr>
  <dimension ref="A1:N151"/>
  <sheetViews>
    <sheetView workbookViewId="0">
      <pane ySplit="1" topLeftCell="A2" activePane="bottomLeft" state="frozen"/>
      <selection pane="bottomLeft" activeCell="I3" sqref="I3"/>
    </sheetView>
  </sheetViews>
  <sheetFormatPr baseColWidth="10" defaultRowHeight="15" x14ac:dyDescent="0.25"/>
  <cols>
    <col min="1" max="1" width="20.42578125" bestFit="1" customWidth="1"/>
    <col min="3" max="3" width="25.85546875" customWidth="1"/>
    <col min="4" max="4" width="19.85546875" style="6" bestFit="1" customWidth="1"/>
    <col min="5" max="5" width="54.7109375" customWidth="1"/>
    <col min="6" max="6" width="13.42578125" style="80" bestFit="1" customWidth="1"/>
    <col min="7" max="7" width="11.42578125" style="53"/>
    <col min="8" max="9" width="11.42578125" style="80"/>
    <col min="10" max="10" width="13" bestFit="1" customWidth="1"/>
    <col min="12" max="12" width="12.85546875" bestFit="1" customWidth="1"/>
  </cols>
  <sheetData>
    <row r="1" spans="1:14" s="49" customFormat="1" ht="30" x14ac:dyDescent="0.25">
      <c r="A1" s="11" t="s">
        <v>152</v>
      </c>
      <c r="B1" s="11" t="s">
        <v>140</v>
      </c>
      <c r="C1" s="11" t="s">
        <v>146</v>
      </c>
      <c r="D1" s="11" t="s">
        <v>151</v>
      </c>
      <c r="E1" s="11" t="s">
        <v>215</v>
      </c>
      <c r="F1" s="74" t="s">
        <v>147</v>
      </c>
      <c r="G1" s="52" t="s">
        <v>74</v>
      </c>
      <c r="H1" s="81" t="s">
        <v>61</v>
      </c>
      <c r="I1" s="81" t="s">
        <v>145</v>
      </c>
      <c r="J1" s="25" t="s">
        <v>141</v>
      </c>
      <c r="L1" s="50" t="s">
        <v>143</v>
      </c>
      <c r="M1" s="11" t="s">
        <v>142</v>
      </c>
      <c r="N1" s="51" t="s">
        <v>144</v>
      </c>
    </row>
    <row r="2" spans="1:14" x14ac:dyDescent="0.25">
      <c r="A2" s="47" t="s">
        <v>153</v>
      </c>
      <c r="B2" s="47">
        <v>45917</v>
      </c>
      <c r="C2" s="35" t="s">
        <v>148</v>
      </c>
      <c r="D2" s="38" t="s">
        <v>135</v>
      </c>
      <c r="E2" s="9" t="s">
        <v>108</v>
      </c>
      <c r="F2" s="75" cm="1">
        <f t="array" ref="F2:F30">TRANSPOSE(DIAGNÓSTICO!P20:AR20)</f>
        <v>10.350000000000001</v>
      </c>
      <c r="G2" s="30">
        <f>IFERROR((F2/$F$31),0)</f>
        <v>4.1666666666666678E-2</v>
      </c>
      <c r="H2" s="82">
        <f>((F2)-(F2/4))</f>
        <v>7.7625000000000011</v>
      </c>
      <c r="I2" s="82">
        <f>F2-H2</f>
        <v>2.5875000000000004</v>
      </c>
      <c r="J2" s="30"/>
    </row>
    <row r="3" spans="1:14" x14ac:dyDescent="0.25">
      <c r="A3" s="47" t="s">
        <v>153</v>
      </c>
      <c r="B3" s="47">
        <v>45917</v>
      </c>
      <c r="C3" s="35" t="s">
        <v>148</v>
      </c>
      <c r="D3" s="38" t="s">
        <v>135</v>
      </c>
      <c r="E3" s="9" t="s">
        <v>109</v>
      </c>
      <c r="F3" s="75">
        <v>24.150000000000002</v>
      </c>
      <c r="G3" s="30">
        <f t="shared" ref="G3:G30" si="0">IFERROR((F3/$F$31),0)</f>
        <v>9.7222222222222238E-2</v>
      </c>
      <c r="H3" s="82">
        <f t="shared" ref="H3:H31" si="1">((F3)-(F3/4))</f>
        <v>18.112500000000001</v>
      </c>
      <c r="I3" s="82">
        <f t="shared" ref="I3:I30" si="2">F3-H3</f>
        <v>6.0375000000000014</v>
      </c>
      <c r="J3" s="30"/>
    </row>
    <row r="4" spans="1:14" x14ac:dyDescent="0.25">
      <c r="A4" s="47" t="s">
        <v>153</v>
      </c>
      <c r="B4" s="47">
        <v>45917</v>
      </c>
      <c r="C4" s="35" t="s">
        <v>148</v>
      </c>
      <c r="D4" s="38" t="s">
        <v>135</v>
      </c>
      <c r="E4" s="9" t="s">
        <v>110</v>
      </c>
      <c r="F4" s="75">
        <v>13.8</v>
      </c>
      <c r="G4" s="30">
        <f t="shared" si="0"/>
        <v>5.5555555555555566E-2</v>
      </c>
      <c r="H4" s="82">
        <f t="shared" si="1"/>
        <v>10.350000000000001</v>
      </c>
      <c r="I4" s="82">
        <f t="shared" si="2"/>
        <v>3.4499999999999993</v>
      </c>
      <c r="J4" s="30"/>
    </row>
    <row r="5" spans="1:14" x14ac:dyDescent="0.25">
      <c r="A5" s="47" t="s">
        <v>153</v>
      </c>
      <c r="B5" s="47">
        <v>45917</v>
      </c>
      <c r="C5" s="35" t="s">
        <v>148</v>
      </c>
      <c r="D5" s="38" t="s">
        <v>135</v>
      </c>
      <c r="E5" s="9" t="s">
        <v>111</v>
      </c>
      <c r="F5" s="75">
        <v>13.8</v>
      </c>
      <c r="G5" s="30">
        <f t="shared" si="0"/>
        <v>5.5555555555555566E-2</v>
      </c>
      <c r="H5" s="82">
        <f t="shared" si="1"/>
        <v>10.350000000000001</v>
      </c>
      <c r="I5" s="82">
        <f t="shared" si="2"/>
        <v>3.4499999999999993</v>
      </c>
      <c r="J5" s="30"/>
    </row>
    <row r="6" spans="1:14" x14ac:dyDescent="0.25">
      <c r="A6" s="47" t="s">
        <v>153</v>
      </c>
      <c r="B6" s="47">
        <v>45917</v>
      </c>
      <c r="C6" s="35" t="s">
        <v>148</v>
      </c>
      <c r="D6" s="38" t="s">
        <v>135</v>
      </c>
      <c r="E6" s="9" t="s">
        <v>112</v>
      </c>
      <c r="F6" s="75">
        <v>27.6</v>
      </c>
      <c r="G6" s="30">
        <f t="shared" si="0"/>
        <v>0.11111111111111113</v>
      </c>
      <c r="H6" s="82">
        <f t="shared" si="1"/>
        <v>20.700000000000003</v>
      </c>
      <c r="I6" s="82">
        <f t="shared" si="2"/>
        <v>6.8999999999999986</v>
      </c>
      <c r="J6" s="30"/>
    </row>
    <row r="7" spans="1:14" x14ac:dyDescent="0.25">
      <c r="A7" s="47" t="s">
        <v>153</v>
      </c>
      <c r="B7" s="47">
        <v>45917</v>
      </c>
      <c r="C7" s="35" t="s">
        <v>148</v>
      </c>
      <c r="D7" s="38" t="s">
        <v>135</v>
      </c>
      <c r="E7" s="9" t="s">
        <v>113</v>
      </c>
      <c r="F7" s="75">
        <v>31.050000000000004</v>
      </c>
      <c r="G7" s="30">
        <f t="shared" si="0"/>
        <v>0.12500000000000003</v>
      </c>
      <c r="H7" s="82">
        <f t="shared" si="1"/>
        <v>23.287500000000001</v>
      </c>
      <c r="I7" s="82">
        <f t="shared" si="2"/>
        <v>7.7625000000000028</v>
      </c>
      <c r="J7" s="30"/>
    </row>
    <row r="8" spans="1:14" x14ac:dyDescent="0.25">
      <c r="A8" s="47" t="s">
        <v>153</v>
      </c>
      <c r="B8" s="47">
        <v>45917</v>
      </c>
      <c r="C8" s="35" t="s">
        <v>148</v>
      </c>
      <c r="D8" s="38" t="s">
        <v>135</v>
      </c>
      <c r="E8" s="9" t="s">
        <v>114</v>
      </c>
      <c r="F8" s="75">
        <v>34.5</v>
      </c>
      <c r="G8" s="30">
        <f t="shared" si="0"/>
        <v>0.1388888888888889</v>
      </c>
      <c r="H8" s="82">
        <f t="shared" si="1"/>
        <v>25.875</v>
      </c>
      <c r="I8" s="82">
        <f t="shared" si="2"/>
        <v>8.625</v>
      </c>
      <c r="J8" s="30"/>
    </row>
    <row r="9" spans="1:14" x14ac:dyDescent="0.25">
      <c r="A9" s="47" t="s">
        <v>153</v>
      </c>
      <c r="B9" s="47">
        <v>45917</v>
      </c>
      <c r="C9" s="35" t="s">
        <v>148</v>
      </c>
      <c r="D9" s="38" t="s">
        <v>135</v>
      </c>
      <c r="E9" s="9" t="s">
        <v>115</v>
      </c>
      <c r="F9" s="75">
        <v>17.25</v>
      </c>
      <c r="G9" s="30">
        <f t="shared" si="0"/>
        <v>6.9444444444444448E-2</v>
      </c>
      <c r="H9" s="82">
        <f t="shared" si="1"/>
        <v>12.9375</v>
      </c>
      <c r="I9" s="82">
        <f t="shared" si="2"/>
        <v>4.3125</v>
      </c>
      <c r="J9" s="30"/>
    </row>
    <row r="10" spans="1:14" x14ac:dyDescent="0.25">
      <c r="A10" s="47" t="s">
        <v>153</v>
      </c>
      <c r="B10" s="47">
        <v>45917</v>
      </c>
      <c r="C10" s="35" t="s">
        <v>148</v>
      </c>
      <c r="D10" s="38" t="s">
        <v>135</v>
      </c>
      <c r="E10" s="9" t="s">
        <v>116</v>
      </c>
      <c r="F10" s="75">
        <v>6.9</v>
      </c>
      <c r="G10" s="30">
        <f t="shared" si="0"/>
        <v>2.7777777777777783E-2</v>
      </c>
      <c r="H10" s="82">
        <f t="shared" si="1"/>
        <v>5.1750000000000007</v>
      </c>
      <c r="I10" s="82">
        <f t="shared" si="2"/>
        <v>1.7249999999999996</v>
      </c>
      <c r="J10" s="30"/>
    </row>
    <row r="11" spans="1:14" x14ac:dyDescent="0.25">
      <c r="A11" s="47" t="s">
        <v>153</v>
      </c>
      <c r="B11" s="47">
        <v>45917</v>
      </c>
      <c r="C11" s="35" t="s">
        <v>148</v>
      </c>
      <c r="D11" s="38" t="s">
        <v>135</v>
      </c>
      <c r="E11" s="9" t="s">
        <v>117</v>
      </c>
      <c r="F11" s="75">
        <v>13.8</v>
      </c>
      <c r="G11" s="30">
        <f t="shared" si="0"/>
        <v>5.5555555555555566E-2</v>
      </c>
      <c r="H11" s="82">
        <f t="shared" si="1"/>
        <v>10.350000000000001</v>
      </c>
      <c r="I11" s="82">
        <f t="shared" si="2"/>
        <v>3.4499999999999993</v>
      </c>
      <c r="J11" s="30"/>
    </row>
    <row r="12" spans="1:14" x14ac:dyDescent="0.25">
      <c r="A12" s="47" t="s">
        <v>153</v>
      </c>
      <c r="B12" s="47">
        <v>45917</v>
      </c>
      <c r="C12" s="36" t="s">
        <v>62</v>
      </c>
      <c r="D12" s="45" t="s">
        <v>135</v>
      </c>
      <c r="E12" s="5" t="s">
        <v>118</v>
      </c>
      <c r="F12" s="75">
        <v>6.9</v>
      </c>
      <c r="G12" s="30">
        <f t="shared" si="0"/>
        <v>2.7777777777777783E-2</v>
      </c>
      <c r="H12" s="82">
        <f t="shared" si="1"/>
        <v>5.1750000000000007</v>
      </c>
      <c r="I12" s="82">
        <f t="shared" si="2"/>
        <v>1.7249999999999996</v>
      </c>
      <c r="J12" s="30"/>
    </row>
    <row r="13" spans="1:14" x14ac:dyDescent="0.25">
      <c r="A13" s="47" t="s">
        <v>153</v>
      </c>
      <c r="B13" s="47">
        <v>45917</v>
      </c>
      <c r="C13" s="36" t="s">
        <v>62</v>
      </c>
      <c r="D13" s="45" t="s">
        <v>135</v>
      </c>
      <c r="E13" s="5" t="s">
        <v>24</v>
      </c>
      <c r="F13" s="75">
        <v>3.45</v>
      </c>
      <c r="G13" s="30">
        <f t="shared" si="0"/>
        <v>1.3888888888888892E-2</v>
      </c>
      <c r="H13" s="82">
        <f t="shared" si="1"/>
        <v>2.5875000000000004</v>
      </c>
      <c r="I13" s="82">
        <f t="shared" si="2"/>
        <v>0.86249999999999982</v>
      </c>
      <c r="J13" s="30"/>
    </row>
    <row r="14" spans="1:14" x14ac:dyDescent="0.25">
      <c r="A14" s="47" t="s">
        <v>153</v>
      </c>
      <c r="B14" s="47">
        <v>45917</v>
      </c>
      <c r="C14" s="36" t="s">
        <v>62</v>
      </c>
      <c r="D14" s="45" t="s">
        <v>135</v>
      </c>
      <c r="E14" s="5" t="s">
        <v>25</v>
      </c>
      <c r="F14" s="75">
        <v>0</v>
      </c>
      <c r="G14" s="30">
        <f t="shared" si="0"/>
        <v>0</v>
      </c>
      <c r="H14" s="82">
        <f t="shared" si="1"/>
        <v>0</v>
      </c>
      <c r="I14" s="82">
        <f t="shared" si="2"/>
        <v>0</v>
      </c>
      <c r="J14" s="30"/>
    </row>
    <row r="15" spans="1:14" x14ac:dyDescent="0.25">
      <c r="A15" s="47" t="s">
        <v>153</v>
      </c>
      <c r="B15" s="47">
        <v>45917</v>
      </c>
      <c r="C15" s="36" t="s">
        <v>62</v>
      </c>
      <c r="D15" s="45" t="s">
        <v>135</v>
      </c>
      <c r="E15" s="5" t="s">
        <v>26</v>
      </c>
      <c r="F15" s="75">
        <v>3.45</v>
      </c>
      <c r="G15" s="30">
        <f t="shared" si="0"/>
        <v>1.3888888888888892E-2</v>
      </c>
      <c r="H15" s="82">
        <f t="shared" si="1"/>
        <v>2.5875000000000004</v>
      </c>
      <c r="I15" s="82">
        <f t="shared" si="2"/>
        <v>0.86249999999999982</v>
      </c>
      <c r="J15" s="30"/>
    </row>
    <row r="16" spans="1:14" x14ac:dyDescent="0.25">
      <c r="A16" s="47" t="s">
        <v>153</v>
      </c>
      <c r="B16" s="47">
        <v>45917</v>
      </c>
      <c r="C16" s="36" t="s">
        <v>62</v>
      </c>
      <c r="D16" s="45" t="s">
        <v>135</v>
      </c>
      <c r="E16" s="5" t="s">
        <v>27</v>
      </c>
      <c r="F16" s="75">
        <v>0</v>
      </c>
      <c r="G16" s="30">
        <f t="shared" si="0"/>
        <v>0</v>
      </c>
      <c r="H16" s="82">
        <f t="shared" si="1"/>
        <v>0</v>
      </c>
      <c r="I16" s="82">
        <f t="shared" si="2"/>
        <v>0</v>
      </c>
      <c r="J16" s="30"/>
    </row>
    <row r="17" spans="1:10" x14ac:dyDescent="0.25">
      <c r="A17" s="47" t="s">
        <v>153</v>
      </c>
      <c r="B17" s="47">
        <v>45917</v>
      </c>
      <c r="C17" s="36" t="s">
        <v>62</v>
      </c>
      <c r="D17" s="45" t="s">
        <v>135</v>
      </c>
      <c r="E17" s="5" t="s">
        <v>28</v>
      </c>
      <c r="F17" s="75">
        <v>10.350000000000001</v>
      </c>
      <c r="G17" s="30">
        <f t="shared" si="0"/>
        <v>4.1666666666666678E-2</v>
      </c>
      <c r="H17" s="82">
        <f t="shared" si="1"/>
        <v>7.7625000000000011</v>
      </c>
      <c r="I17" s="82">
        <f t="shared" si="2"/>
        <v>2.5875000000000004</v>
      </c>
      <c r="J17" s="30"/>
    </row>
    <row r="18" spans="1:10" x14ac:dyDescent="0.25">
      <c r="A18" s="47" t="s">
        <v>153</v>
      </c>
      <c r="B18" s="47">
        <v>45917</v>
      </c>
      <c r="C18" s="36" t="s">
        <v>62</v>
      </c>
      <c r="D18" s="45" t="s">
        <v>135</v>
      </c>
      <c r="E18" s="5" t="s">
        <v>119</v>
      </c>
      <c r="F18" s="75">
        <v>10.350000000000001</v>
      </c>
      <c r="G18" s="30">
        <f t="shared" si="0"/>
        <v>4.1666666666666678E-2</v>
      </c>
      <c r="H18" s="82">
        <f t="shared" si="1"/>
        <v>7.7625000000000011</v>
      </c>
      <c r="I18" s="82">
        <f t="shared" si="2"/>
        <v>2.5875000000000004</v>
      </c>
      <c r="J18" s="30"/>
    </row>
    <row r="19" spans="1:10" x14ac:dyDescent="0.25">
      <c r="A19" s="47" t="s">
        <v>153</v>
      </c>
      <c r="B19" s="47">
        <v>45917</v>
      </c>
      <c r="C19" s="36" t="s">
        <v>62</v>
      </c>
      <c r="D19" s="45" t="s">
        <v>135</v>
      </c>
      <c r="E19" s="5" t="s">
        <v>120</v>
      </c>
      <c r="F19" s="75">
        <v>0</v>
      </c>
      <c r="G19" s="30">
        <f t="shared" si="0"/>
        <v>0</v>
      </c>
      <c r="H19" s="82">
        <f t="shared" si="1"/>
        <v>0</v>
      </c>
      <c r="I19" s="82">
        <f t="shared" si="2"/>
        <v>0</v>
      </c>
      <c r="J19" s="30"/>
    </row>
    <row r="20" spans="1:10" x14ac:dyDescent="0.25">
      <c r="A20" s="47" t="s">
        <v>153</v>
      </c>
      <c r="B20" s="47">
        <v>45917</v>
      </c>
      <c r="C20" s="36" t="s">
        <v>62</v>
      </c>
      <c r="D20" s="45" t="s">
        <v>135</v>
      </c>
      <c r="E20" s="5" t="s">
        <v>121</v>
      </c>
      <c r="F20" s="75">
        <v>0</v>
      </c>
      <c r="G20" s="30">
        <f t="shared" si="0"/>
        <v>0</v>
      </c>
      <c r="H20" s="82">
        <f t="shared" si="1"/>
        <v>0</v>
      </c>
      <c r="I20" s="82">
        <f t="shared" si="2"/>
        <v>0</v>
      </c>
      <c r="J20" s="30"/>
    </row>
    <row r="21" spans="1:10" x14ac:dyDescent="0.25">
      <c r="A21" s="47" t="s">
        <v>153</v>
      </c>
      <c r="B21" s="47">
        <v>45917</v>
      </c>
      <c r="C21" s="36" t="s">
        <v>62</v>
      </c>
      <c r="D21" s="45" t="s">
        <v>135</v>
      </c>
      <c r="E21" s="5" t="s">
        <v>122</v>
      </c>
      <c r="F21" s="75">
        <v>0</v>
      </c>
      <c r="G21" s="30">
        <f t="shared" si="0"/>
        <v>0</v>
      </c>
      <c r="H21" s="82">
        <f t="shared" si="1"/>
        <v>0</v>
      </c>
      <c r="I21" s="82">
        <f t="shared" si="2"/>
        <v>0</v>
      </c>
      <c r="J21" s="30"/>
    </row>
    <row r="22" spans="1:10" x14ac:dyDescent="0.25">
      <c r="A22" s="47" t="s">
        <v>153</v>
      </c>
      <c r="B22" s="47">
        <v>45917</v>
      </c>
      <c r="C22" s="48" t="s">
        <v>150</v>
      </c>
      <c r="D22" s="46" t="s">
        <v>135</v>
      </c>
      <c r="E22" s="10" t="s">
        <v>123</v>
      </c>
      <c r="F22" s="75">
        <v>13.8</v>
      </c>
      <c r="G22" s="30">
        <f t="shared" si="0"/>
        <v>5.5555555555555566E-2</v>
      </c>
      <c r="H22" s="82">
        <f t="shared" si="1"/>
        <v>10.350000000000001</v>
      </c>
      <c r="I22" s="82">
        <f t="shared" si="2"/>
        <v>3.4499999999999993</v>
      </c>
      <c r="J22" s="30"/>
    </row>
    <row r="23" spans="1:10" x14ac:dyDescent="0.25">
      <c r="A23" s="47" t="s">
        <v>153</v>
      </c>
      <c r="B23" s="47">
        <v>45917</v>
      </c>
      <c r="C23" s="48" t="s">
        <v>150</v>
      </c>
      <c r="D23" s="46" t="s">
        <v>135</v>
      </c>
      <c r="E23" s="10" t="s">
        <v>124</v>
      </c>
      <c r="F23" s="75">
        <v>3.45</v>
      </c>
      <c r="G23" s="30">
        <f t="shared" si="0"/>
        <v>1.3888888888888892E-2</v>
      </c>
      <c r="H23" s="82">
        <f t="shared" si="1"/>
        <v>2.5875000000000004</v>
      </c>
      <c r="I23" s="82">
        <f t="shared" si="2"/>
        <v>0.86249999999999982</v>
      </c>
      <c r="J23" s="30"/>
    </row>
    <row r="24" spans="1:10" x14ac:dyDescent="0.25">
      <c r="A24" s="47" t="s">
        <v>153</v>
      </c>
      <c r="B24" s="47">
        <v>45917</v>
      </c>
      <c r="C24" s="48" t="s">
        <v>150</v>
      </c>
      <c r="D24" s="46" t="s">
        <v>135</v>
      </c>
      <c r="E24" s="10" t="s">
        <v>125</v>
      </c>
      <c r="F24" s="75">
        <v>0</v>
      </c>
      <c r="G24" s="30">
        <f t="shared" si="0"/>
        <v>0</v>
      </c>
      <c r="H24" s="82">
        <f t="shared" si="1"/>
        <v>0</v>
      </c>
      <c r="I24" s="82">
        <f t="shared" si="2"/>
        <v>0</v>
      </c>
      <c r="J24" s="30"/>
    </row>
    <row r="25" spans="1:10" x14ac:dyDescent="0.25">
      <c r="A25" s="47" t="s">
        <v>153</v>
      </c>
      <c r="B25" s="47">
        <v>45917</v>
      </c>
      <c r="C25" s="48" t="s">
        <v>150</v>
      </c>
      <c r="D25" s="46" t="s">
        <v>135</v>
      </c>
      <c r="E25" s="10" t="s">
        <v>126</v>
      </c>
      <c r="F25" s="75">
        <v>0</v>
      </c>
      <c r="G25" s="30">
        <f t="shared" si="0"/>
        <v>0</v>
      </c>
      <c r="H25" s="82">
        <f t="shared" si="1"/>
        <v>0</v>
      </c>
      <c r="I25" s="82">
        <f t="shared" si="2"/>
        <v>0</v>
      </c>
      <c r="J25" s="30"/>
    </row>
    <row r="26" spans="1:10" x14ac:dyDescent="0.25">
      <c r="A26" s="47" t="s">
        <v>153</v>
      </c>
      <c r="B26" s="47">
        <v>45917</v>
      </c>
      <c r="C26" s="48" t="s">
        <v>150</v>
      </c>
      <c r="D26" s="46" t="s">
        <v>135</v>
      </c>
      <c r="E26" s="10" t="s">
        <v>127</v>
      </c>
      <c r="F26" s="75">
        <v>0</v>
      </c>
      <c r="G26" s="30">
        <f t="shared" si="0"/>
        <v>0</v>
      </c>
      <c r="H26" s="82">
        <f t="shared" si="1"/>
        <v>0</v>
      </c>
      <c r="I26" s="82">
        <f t="shared" si="2"/>
        <v>0</v>
      </c>
      <c r="J26" s="30"/>
    </row>
    <row r="27" spans="1:10" x14ac:dyDescent="0.25">
      <c r="A27" s="47" t="s">
        <v>153</v>
      </c>
      <c r="B27" s="47">
        <v>45917</v>
      </c>
      <c r="C27" s="48" t="s">
        <v>150</v>
      </c>
      <c r="D27" s="46" t="s">
        <v>135</v>
      </c>
      <c r="E27" s="10" t="s">
        <v>30</v>
      </c>
      <c r="F27" s="75">
        <v>0</v>
      </c>
      <c r="G27" s="30">
        <f t="shared" si="0"/>
        <v>0</v>
      </c>
      <c r="H27" s="82">
        <f t="shared" si="1"/>
        <v>0</v>
      </c>
      <c r="I27" s="82">
        <f t="shared" si="2"/>
        <v>0</v>
      </c>
      <c r="J27" s="30"/>
    </row>
    <row r="28" spans="1:10" x14ac:dyDescent="0.25">
      <c r="A28" s="47" t="s">
        <v>153</v>
      </c>
      <c r="B28" s="47">
        <v>45917</v>
      </c>
      <c r="C28" s="36" t="s">
        <v>149</v>
      </c>
      <c r="D28" s="45" t="s">
        <v>135</v>
      </c>
      <c r="E28" s="5" t="s">
        <v>128</v>
      </c>
      <c r="F28" s="75">
        <v>0</v>
      </c>
      <c r="G28" s="30">
        <f t="shared" si="0"/>
        <v>0</v>
      </c>
      <c r="H28" s="82">
        <f t="shared" si="1"/>
        <v>0</v>
      </c>
      <c r="I28" s="82">
        <f t="shared" si="2"/>
        <v>0</v>
      </c>
      <c r="J28" s="30"/>
    </row>
    <row r="29" spans="1:10" x14ac:dyDescent="0.25">
      <c r="A29" s="47" t="s">
        <v>153</v>
      </c>
      <c r="B29" s="47">
        <v>45917</v>
      </c>
      <c r="C29" s="36" t="s">
        <v>149</v>
      </c>
      <c r="D29" s="45" t="s">
        <v>135</v>
      </c>
      <c r="E29" s="5" t="s">
        <v>129</v>
      </c>
      <c r="F29" s="75">
        <v>0</v>
      </c>
      <c r="G29" s="30">
        <f t="shared" si="0"/>
        <v>0</v>
      </c>
      <c r="H29" s="82">
        <f t="shared" si="1"/>
        <v>0</v>
      </c>
      <c r="I29" s="82">
        <f t="shared" si="2"/>
        <v>0</v>
      </c>
      <c r="J29" s="30"/>
    </row>
    <row r="30" spans="1:10" x14ac:dyDescent="0.25">
      <c r="A30" s="47" t="s">
        <v>153</v>
      </c>
      <c r="B30" s="47">
        <v>45917</v>
      </c>
      <c r="C30" s="36" t="s">
        <v>149</v>
      </c>
      <c r="D30" s="45" t="s">
        <v>135</v>
      </c>
      <c r="E30" s="5" t="s">
        <v>31</v>
      </c>
      <c r="F30" s="75">
        <v>3.45</v>
      </c>
      <c r="G30" s="30">
        <f t="shared" si="0"/>
        <v>1.3888888888888892E-2</v>
      </c>
      <c r="H30" s="82">
        <f t="shared" si="1"/>
        <v>2.5875000000000004</v>
      </c>
      <c r="I30" s="82">
        <f t="shared" si="2"/>
        <v>0.86249999999999982</v>
      </c>
      <c r="J30" s="30"/>
    </row>
    <row r="31" spans="1:10" s="6" customFormat="1" x14ac:dyDescent="0.25">
      <c r="A31" s="39" t="s">
        <v>153</v>
      </c>
      <c r="B31" s="41">
        <v>45917</v>
      </c>
      <c r="C31" s="39" t="s">
        <v>45</v>
      </c>
      <c r="D31" s="39" t="s">
        <v>180</v>
      </c>
      <c r="E31" s="39" t="s">
        <v>45</v>
      </c>
      <c r="F31" s="79">
        <f>SUM(F2:F30)</f>
        <v>248.39999999999998</v>
      </c>
      <c r="G31" s="44">
        <f>SUM(G2:G30)</f>
        <v>0.99999999999999978</v>
      </c>
      <c r="H31" s="79">
        <f t="shared" si="1"/>
        <v>186.29999999999998</v>
      </c>
      <c r="I31" s="79">
        <f t="shared" ref="I31" si="3">SUM(I2:I30)</f>
        <v>62.09999999999998</v>
      </c>
      <c r="J31" s="43" t="s">
        <v>144</v>
      </c>
    </row>
    <row r="32" spans="1:10" x14ac:dyDescent="0.25">
      <c r="A32" s="47" t="s">
        <v>153</v>
      </c>
      <c r="B32" s="47"/>
      <c r="C32" s="35" t="s">
        <v>148</v>
      </c>
      <c r="D32" s="38" t="s">
        <v>136</v>
      </c>
      <c r="E32" s="9" t="s">
        <v>108</v>
      </c>
      <c r="F32" s="75" cm="1">
        <f t="array" ref="F32:F60">TRANSPOSE(DIAGNÓSTICO!P39:AR39)</f>
        <v>0</v>
      </c>
      <c r="G32" s="30">
        <f>IFERROR((F32/$F$61),0)</f>
        <v>0</v>
      </c>
      <c r="H32" s="82">
        <f>H2/4</f>
        <v>1.9406250000000003</v>
      </c>
      <c r="I32" s="82">
        <f>F2-H32</f>
        <v>8.4093750000000007</v>
      </c>
      <c r="J32" s="30" t="str">
        <f>IF(F32&lt;=I32,$M$1,IF(F32=F2,$L$1,IF(F32&gt;F2,$N$1,0)))</f>
        <v>MEJORA</v>
      </c>
    </row>
    <row r="33" spans="1:10" x14ac:dyDescent="0.25">
      <c r="A33" s="47" t="s">
        <v>153</v>
      </c>
      <c r="B33" s="47"/>
      <c r="C33" s="35" t="s">
        <v>148</v>
      </c>
      <c r="D33" s="38" t="s">
        <v>136</v>
      </c>
      <c r="E33" s="9" t="s">
        <v>109</v>
      </c>
      <c r="F33" s="75">
        <v>0</v>
      </c>
      <c r="G33" s="30">
        <f t="shared" ref="G33:G60" si="4">IFERROR((F33/$F$61),0)</f>
        <v>0</v>
      </c>
      <c r="H33" s="82">
        <f t="shared" ref="H33:H59" si="5">H3/4</f>
        <v>4.5281250000000002</v>
      </c>
      <c r="I33" s="82">
        <f>F3-H33</f>
        <v>19.621875000000003</v>
      </c>
      <c r="J33" s="30" t="str">
        <f t="shared" ref="J33:J39" si="6">IF(F33&lt;=I33,$M$1,IF(F33=F3,$L$1,IF(F33&gt;F3,$N$1,0)))</f>
        <v>MEJORA</v>
      </c>
    </row>
    <row r="34" spans="1:10" x14ac:dyDescent="0.25">
      <c r="A34" s="47" t="s">
        <v>153</v>
      </c>
      <c r="B34" s="47"/>
      <c r="C34" s="35" t="s">
        <v>148</v>
      </c>
      <c r="D34" s="38" t="s">
        <v>136</v>
      </c>
      <c r="E34" s="9" t="s">
        <v>110</v>
      </c>
      <c r="F34" s="75">
        <v>0</v>
      </c>
      <c r="G34" s="30">
        <f t="shared" si="4"/>
        <v>0</v>
      </c>
      <c r="H34" s="82">
        <f t="shared" si="5"/>
        <v>2.5875000000000004</v>
      </c>
      <c r="I34" s="82">
        <f t="shared" ref="I34:I60" si="7">F4-H34</f>
        <v>11.2125</v>
      </c>
      <c r="J34" s="30" t="str">
        <f t="shared" si="6"/>
        <v>MEJORA</v>
      </c>
    </row>
    <row r="35" spans="1:10" x14ac:dyDescent="0.25">
      <c r="A35" s="47" t="s">
        <v>153</v>
      </c>
      <c r="B35" s="47"/>
      <c r="C35" s="35" t="s">
        <v>148</v>
      </c>
      <c r="D35" s="38" t="s">
        <v>136</v>
      </c>
      <c r="E35" s="9" t="s">
        <v>111</v>
      </c>
      <c r="F35" s="75">
        <v>0</v>
      </c>
      <c r="G35" s="30">
        <f t="shared" si="4"/>
        <v>0</v>
      </c>
      <c r="H35" s="82">
        <f t="shared" si="5"/>
        <v>2.5875000000000004</v>
      </c>
      <c r="I35" s="82">
        <f t="shared" si="7"/>
        <v>11.2125</v>
      </c>
      <c r="J35" s="30" t="str">
        <f t="shared" si="6"/>
        <v>MEJORA</v>
      </c>
    </row>
    <row r="36" spans="1:10" x14ac:dyDescent="0.25">
      <c r="A36" s="47" t="s">
        <v>153</v>
      </c>
      <c r="B36" s="47"/>
      <c r="C36" s="35" t="s">
        <v>148</v>
      </c>
      <c r="D36" s="38" t="s">
        <v>136</v>
      </c>
      <c r="E36" s="9" t="s">
        <v>112</v>
      </c>
      <c r="F36" s="75">
        <v>0</v>
      </c>
      <c r="G36" s="30">
        <f t="shared" si="4"/>
        <v>0</v>
      </c>
      <c r="H36" s="82">
        <f t="shared" si="5"/>
        <v>5.1750000000000007</v>
      </c>
      <c r="I36" s="82">
        <f t="shared" si="7"/>
        <v>22.425000000000001</v>
      </c>
      <c r="J36" s="30" t="str">
        <f t="shared" si="6"/>
        <v>MEJORA</v>
      </c>
    </row>
    <row r="37" spans="1:10" x14ac:dyDescent="0.25">
      <c r="A37" s="47" t="s">
        <v>153</v>
      </c>
      <c r="B37" s="47"/>
      <c r="C37" s="35" t="s">
        <v>148</v>
      </c>
      <c r="D37" s="38" t="s">
        <v>136</v>
      </c>
      <c r="E37" s="9" t="s">
        <v>113</v>
      </c>
      <c r="F37" s="75">
        <v>0</v>
      </c>
      <c r="G37" s="30">
        <f t="shared" si="4"/>
        <v>0</v>
      </c>
      <c r="H37" s="82">
        <f t="shared" si="5"/>
        <v>5.8218750000000004</v>
      </c>
      <c r="I37" s="82">
        <f t="shared" si="7"/>
        <v>25.228125000000006</v>
      </c>
      <c r="J37" s="30" t="str">
        <f t="shared" si="6"/>
        <v>MEJORA</v>
      </c>
    </row>
    <row r="38" spans="1:10" x14ac:dyDescent="0.25">
      <c r="A38" s="47" t="s">
        <v>153</v>
      </c>
      <c r="B38" s="47"/>
      <c r="C38" s="35" t="s">
        <v>148</v>
      </c>
      <c r="D38" s="38" t="s">
        <v>136</v>
      </c>
      <c r="E38" s="9" t="s">
        <v>114</v>
      </c>
      <c r="F38" s="75">
        <v>0</v>
      </c>
      <c r="G38" s="30">
        <f t="shared" si="4"/>
        <v>0</v>
      </c>
      <c r="H38" s="82">
        <f t="shared" si="5"/>
        <v>6.46875</v>
      </c>
      <c r="I38" s="82">
        <f t="shared" si="7"/>
        <v>28.03125</v>
      </c>
      <c r="J38" s="30" t="str">
        <f t="shared" si="6"/>
        <v>MEJORA</v>
      </c>
    </row>
    <row r="39" spans="1:10" x14ac:dyDescent="0.25">
      <c r="A39" s="47" t="s">
        <v>153</v>
      </c>
      <c r="B39" s="47"/>
      <c r="C39" s="35" t="s">
        <v>148</v>
      </c>
      <c r="D39" s="38" t="s">
        <v>136</v>
      </c>
      <c r="E39" s="9" t="s">
        <v>115</v>
      </c>
      <c r="F39" s="75">
        <v>0</v>
      </c>
      <c r="G39" s="30">
        <f t="shared" si="4"/>
        <v>0</v>
      </c>
      <c r="H39" s="82">
        <f t="shared" si="5"/>
        <v>3.234375</v>
      </c>
      <c r="I39" s="82">
        <f t="shared" si="7"/>
        <v>14.015625</v>
      </c>
      <c r="J39" s="30" t="str">
        <f t="shared" si="6"/>
        <v>MEJORA</v>
      </c>
    </row>
    <row r="40" spans="1:10" x14ac:dyDescent="0.25">
      <c r="A40" s="47" t="s">
        <v>153</v>
      </c>
      <c r="B40" s="47"/>
      <c r="C40" s="35" t="s">
        <v>148</v>
      </c>
      <c r="D40" s="38" t="s">
        <v>136</v>
      </c>
      <c r="E40" s="9" t="s">
        <v>116</v>
      </c>
      <c r="F40" s="75">
        <v>0</v>
      </c>
      <c r="G40" s="30">
        <f t="shared" si="4"/>
        <v>0</v>
      </c>
      <c r="H40" s="82">
        <f t="shared" si="5"/>
        <v>1.2937500000000002</v>
      </c>
      <c r="I40" s="82">
        <f t="shared" si="7"/>
        <v>5.6062500000000002</v>
      </c>
      <c r="J40" s="30" t="str">
        <f t="shared" ref="J40:J71" si="8">IF(F40&lt;=I40,$M$1,IF(F40=F10,$L$1,IF(F40&gt;F10,$N$1,0)))</f>
        <v>MEJORA</v>
      </c>
    </row>
    <row r="41" spans="1:10" x14ac:dyDescent="0.25">
      <c r="A41" s="47" t="s">
        <v>153</v>
      </c>
      <c r="B41" s="47"/>
      <c r="C41" s="35" t="s">
        <v>148</v>
      </c>
      <c r="D41" s="38" t="s">
        <v>136</v>
      </c>
      <c r="E41" s="9" t="s">
        <v>117</v>
      </c>
      <c r="F41" s="75">
        <v>0</v>
      </c>
      <c r="G41" s="30">
        <f t="shared" si="4"/>
        <v>0</v>
      </c>
      <c r="H41" s="82">
        <f t="shared" si="5"/>
        <v>2.5875000000000004</v>
      </c>
      <c r="I41" s="82">
        <f t="shared" si="7"/>
        <v>11.2125</v>
      </c>
      <c r="J41" s="30" t="str">
        <f t="shared" si="8"/>
        <v>MEJORA</v>
      </c>
    </row>
    <row r="42" spans="1:10" x14ac:dyDescent="0.25">
      <c r="A42" s="47" t="s">
        <v>153</v>
      </c>
      <c r="B42" s="47"/>
      <c r="C42" s="36" t="s">
        <v>62</v>
      </c>
      <c r="D42" s="45" t="s">
        <v>136</v>
      </c>
      <c r="E42" s="5" t="s">
        <v>118</v>
      </c>
      <c r="F42" s="75">
        <v>0</v>
      </c>
      <c r="G42" s="30">
        <f t="shared" si="4"/>
        <v>0</v>
      </c>
      <c r="H42" s="82">
        <f t="shared" si="5"/>
        <v>1.2937500000000002</v>
      </c>
      <c r="I42" s="82">
        <f t="shared" si="7"/>
        <v>5.6062500000000002</v>
      </c>
      <c r="J42" s="30" t="str">
        <f t="shared" si="8"/>
        <v>MEJORA</v>
      </c>
    </row>
    <row r="43" spans="1:10" x14ac:dyDescent="0.25">
      <c r="A43" s="47" t="s">
        <v>153</v>
      </c>
      <c r="B43" s="47"/>
      <c r="C43" s="36" t="s">
        <v>62</v>
      </c>
      <c r="D43" s="45" t="s">
        <v>136</v>
      </c>
      <c r="E43" s="5" t="s">
        <v>24</v>
      </c>
      <c r="F43" s="75">
        <v>0</v>
      </c>
      <c r="G43" s="30">
        <f t="shared" si="4"/>
        <v>0</v>
      </c>
      <c r="H43" s="82">
        <f t="shared" si="5"/>
        <v>0.64687500000000009</v>
      </c>
      <c r="I43" s="82">
        <f t="shared" si="7"/>
        <v>2.8031250000000001</v>
      </c>
      <c r="J43" s="30" t="str">
        <f t="shared" si="8"/>
        <v>MEJORA</v>
      </c>
    </row>
    <row r="44" spans="1:10" x14ac:dyDescent="0.25">
      <c r="A44" s="47" t="s">
        <v>153</v>
      </c>
      <c r="B44" s="47"/>
      <c r="C44" s="36" t="s">
        <v>62</v>
      </c>
      <c r="D44" s="45" t="s">
        <v>136</v>
      </c>
      <c r="E44" s="5" t="s">
        <v>25</v>
      </c>
      <c r="F44" s="75">
        <v>0</v>
      </c>
      <c r="G44" s="30">
        <f t="shared" si="4"/>
        <v>0</v>
      </c>
      <c r="H44" s="82">
        <f t="shared" si="5"/>
        <v>0</v>
      </c>
      <c r="I44" s="82">
        <f t="shared" si="7"/>
        <v>0</v>
      </c>
      <c r="J44" s="30" t="str">
        <f t="shared" si="8"/>
        <v>MEJORA</v>
      </c>
    </row>
    <row r="45" spans="1:10" x14ac:dyDescent="0.25">
      <c r="A45" s="47" t="s">
        <v>153</v>
      </c>
      <c r="B45" s="47"/>
      <c r="C45" s="36" t="s">
        <v>62</v>
      </c>
      <c r="D45" s="45" t="s">
        <v>136</v>
      </c>
      <c r="E45" s="5" t="s">
        <v>26</v>
      </c>
      <c r="F45" s="75">
        <v>0</v>
      </c>
      <c r="G45" s="30">
        <f t="shared" si="4"/>
        <v>0</v>
      </c>
      <c r="H45" s="82">
        <f t="shared" si="5"/>
        <v>0.64687500000000009</v>
      </c>
      <c r="I45" s="82">
        <f t="shared" si="7"/>
        <v>2.8031250000000001</v>
      </c>
      <c r="J45" s="30" t="str">
        <f t="shared" si="8"/>
        <v>MEJORA</v>
      </c>
    </row>
    <row r="46" spans="1:10" x14ac:dyDescent="0.25">
      <c r="A46" s="47" t="s">
        <v>153</v>
      </c>
      <c r="B46" s="47"/>
      <c r="C46" s="36" t="s">
        <v>62</v>
      </c>
      <c r="D46" s="45" t="s">
        <v>136</v>
      </c>
      <c r="E46" s="5" t="s">
        <v>27</v>
      </c>
      <c r="F46" s="75">
        <v>0</v>
      </c>
      <c r="G46" s="30">
        <f t="shared" si="4"/>
        <v>0</v>
      </c>
      <c r="H46" s="82">
        <f t="shared" si="5"/>
        <v>0</v>
      </c>
      <c r="I46" s="82">
        <f t="shared" si="7"/>
        <v>0</v>
      </c>
      <c r="J46" s="30" t="str">
        <f t="shared" si="8"/>
        <v>MEJORA</v>
      </c>
    </row>
    <row r="47" spans="1:10" x14ac:dyDescent="0.25">
      <c r="A47" s="47" t="s">
        <v>153</v>
      </c>
      <c r="B47" s="47"/>
      <c r="C47" s="36" t="s">
        <v>62</v>
      </c>
      <c r="D47" s="45" t="s">
        <v>136</v>
      </c>
      <c r="E47" s="5" t="s">
        <v>28</v>
      </c>
      <c r="F47" s="75">
        <v>0</v>
      </c>
      <c r="G47" s="30">
        <f t="shared" si="4"/>
        <v>0</v>
      </c>
      <c r="H47" s="82">
        <f t="shared" si="5"/>
        <v>1.9406250000000003</v>
      </c>
      <c r="I47" s="82">
        <f t="shared" si="7"/>
        <v>8.4093750000000007</v>
      </c>
      <c r="J47" s="30" t="str">
        <f t="shared" si="8"/>
        <v>MEJORA</v>
      </c>
    </row>
    <row r="48" spans="1:10" x14ac:dyDescent="0.25">
      <c r="A48" s="47" t="s">
        <v>153</v>
      </c>
      <c r="B48" s="47"/>
      <c r="C48" s="36" t="s">
        <v>62</v>
      </c>
      <c r="D48" s="45" t="s">
        <v>136</v>
      </c>
      <c r="E48" s="5" t="s">
        <v>119</v>
      </c>
      <c r="F48" s="75">
        <v>0</v>
      </c>
      <c r="G48" s="30">
        <f t="shared" si="4"/>
        <v>0</v>
      </c>
      <c r="H48" s="82">
        <f t="shared" si="5"/>
        <v>1.9406250000000003</v>
      </c>
      <c r="I48" s="82">
        <f t="shared" si="7"/>
        <v>8.4093750000000007</v>
      </c>
      <c r="J48" s="30" t="str">
        <f t="shared" si="8"/>
        <v>MEJORA</v>
      </c>
    </row>
    <row r="49" spans="1:10" x14ac:dyDescent="0.25">
      <c r="A49" s="47" t="s">
        <v>153</v>
      </c>
      <c r="B49" s="47"/>
      <c r="C49" s="36" t="s">
        <v>62</v>
      </c>
      <c r="D49" s="45" t="s">
        <v>136</v>
      </c>
      <c r="E49" s="5" t="s">
        <v>120</v>
      </c>
      <c r="F49" s="75">
        <v>0</v>
      </c>
      <c r="G49" s="30">
        <f t="shared" si="4"/>
        <v>0</v>
      </c>
      <c r="H49" s="82">
        <f>H19/4</f>
        <v>0</v>
      </c>
      <c r="I49" s="82">
        <f t="shared" si="7"/>
        <v>0</v>
      </c>
      <c r="J49" s="30" t="str">
        <f t="shared" si="8"/>
        <v>MEJORA</v>
      </c>
    </row>
    <row r="50" spans="1:10" x14ac:dyDescent="0.25">
      <c r="A50" s="47" t="s">
        <v>153</v>
      </c>
      <c r="B50" s="47"/>
      <c r="C50" s="36" t="s">
        <v>62</v>
      </c>
      <c r="D50" s="45" t="s">
        <v>136</v>
      </c>
      <c r="E50" s="5" t="s">
        <v>121</v>
      </c>
      <c r="F50" s="75">
        <v>0</v>
      </c>
      <c r="G50" s="30">
        <f t="shared" si="4"/>
        <v>0</v>
      </c>
      <c r="H50" s="82">
        <f t="shared" si="5"/>
        <v>0</v>
      </c>
      <c r="I50" s="82">
        <f t="shared" si="7"/>
        <v>0</v>
      </c>
      <c r="J50" s="30" t="str">
        <f t="shared" si="8"/>
        <v>MEJORA</v>
      </c>
    </row>
    <row r="51" spans="1:10" x14ac:dyDescent="0.25">
      <c r="A51" s="47" t="s">
        <v>153</v>
      </c>
      <c r="B51" s="47"/>
      <c r="C51" s="36" t="s">
        <v>62</v>
      </c>
      <c r="D51" s="45" t="s">
        <v>136</v>
      </c>
      <c r="E51" s="5" t="s">
        <v>122</v>
      </c>
      <c r="F51" s="75">
        <v>0</v>
      </c>
      <c r="G51" s="30">
        <f t="shared" si="4"/>
        <v>0</v>
      </c>
      <c r="H51" s="82">
        <f t="shared" si="5"/>
        <v>0</v>
      </c>
      <c r="I51" s="82">
        <f t="shared" si="7"/>
        <v>0</v>
      </c>
      <c r="J51" s="30" t="str">
        <f t="shared" si="8"/>
        <v>MEJORA</v>
      </c>
    </row>
    <row r="52" spans="1:10" x14ac:dyDescent="0.25">
      <c r="A52" s="47" t="s">
        <v>153</v>
      </c>
      <c r="B52" s="47"/>
      <c r="C52" s="48" t="s">
        <v>150</v>
      </c>
      <c r="D52" s="46" t="s">
        <v>136</v>
      </c>
      <c r="E52" s="10" t="s">
        <v>123</v>
      </c>
      <c r="F52" s="75">
        <v>0</v>
      </c>
      <c r="G52" s="30">
        <f t="shared" si="4"/>
        <v>0</v>
      </c>
      <c r="H52" s="82">
        <f t="shared" si="5"/>
        <v>2.5875000000000004</v>
      </c>
      <c r="I52" s="82">
        <f t="shared" si="7"/>
        <v>11.2125</v>
      </c>
      <c r="J52" s="30" t="str">
        <f t="shared" si="8"/>
        <v>MEJORA</v>
      </c>
    </row>
    <row r="53" spans="1:10" x14ac:dyDescent="0.25">
      <c r="A53" s="47" t="s">
        <v>153</v>
      </c>
      <c r="B53" s="47"/>
      <c r="C53" s="48" t="s">
        <v>150</v>
      </c>
      <c r="D53" s="46" t="s">
        <v>136</v>
      </c>
      <c r="E53" s="10" t="s">
        <v>124</v>
      </c>
      <c r="F53" s="75">
        <v>0</v>
      </c>
      <c r="G53" s="30">
        <f t="shared" si="4"/>
        <v>0</v>
      </c>
      <c r="H53" s="82">
        <f t="shared" si="5"/>
        <v>0.64687500000000009</v>
      </c>
      <c r="I53" s="82">
        <f t="shared" si="7"/>
        <v>2.8031250000000001</v>
      </c>
      <c r="J53" s="30" t="str">
        <f t="shared" si="8"/>
        <v>MEJORA</v>
      </c>
    </row>
    <row r="54" spans="1:10" x14ac:dyDescent="0.25">
      <c r="A54" s="47" t="s">
        <v>153</v>
      </c>
      <c r="B54" s="47"/>
      <c r="C54" s="48" t="s">
        <v>150</v>
      </c>
      <c r="D54" s="46" t="s">
        <v>136</v>
      </c>
      <c r="E54" s="10" t="s">
        <v>125</v>
      </c>
      <c r="F54" s="75">
        <v>0</v>
      </c>
      <c r="G54" s="30">
        <f t="shared" si="4"/>
        <v>0</v>
      </c>
      <c r="H54" s="82">
        <f t="shared" si="5"/>
        <v>0</v>
      </c>
      <c r="I54" s="82">
        <f t="shared" si="7"/>
        <v>0</v>
      </c>
      <c r="J54" s="30" t="str">
        <f t="shared" si="8"/>
        <v>MEJORA</v>
      </c>
    </row>
    <row r="55" spans="1:10" x14ac:dyDescent="0.25">
      <c r="A55" s="47" t="s">
        <v>153</v>
      </c>
      <c r="B55" s="47"/>
      <c r="C55" s="48" t="s">
        <v>150</v>
      </c>
      <c r="D55" s="46" t="s">
        <v>136</v>
      </c>
      <c r="E55" s="10" t="s">
        <v>126</v>
      </c>
      <c r="F55" s="75">
        <v>0</v>
      </c>
      <c r="G55" s="30">
        <f t="shared" si="4"/>
        <v>0</v>
      </c>
      <c r="H55" s="82">
        <f t="shared" si="5"/>
        <v>0</v>
      </c>
      <c r="I55" s="82">
        <f t="shared" si="7"/>
        <v>0</v>
      </c>
      <c r="J55" s="30" t="str">
        <f t="shared" si="8"/>
        <v>MEJORA</v>
      </c>
    </row>
    <row r="56" spans="1:10" x14ac:dyDescent="0.25">
      <c r="A56" s="47" t="s">
        <v>153</v>
      </c>
      <c r="B56" s="47"/>
      <c r="C56" s="48" t="s">
        <v>150</v>
      </c>
      <c r="D56" s="46" t="s">
        <v>136</v>
      </c>
      <c r="E56" s="10" t="s">
        <v>127</v>
      </c>
      <c r="F56" s="75">
        <v>0</v>
      </c>
      <c r="G56" s="30">
        <f t="shared" si="4"/>
        <v>0</v>
      </c>
      <c r="H56" s="82">
        <f t="shared" si="5"/>
        <v>0</v>
      </c>
      <c r="I56" s="82">
        <f t="shared" si="7"/>
        <v>0</v>
      </c>
      <c r="J56" s="30" t="str">
        <f t="shared" si="8"/>
        <v>MEJORA</v>
      </c>
    </row>
    <row r="57" spans="1:10" x14ac:dyDescent="0.25">
      <c r="A57" s="47" t="s">
        <v>153</v>
      </c>
      <c r="B57" s="47"/>
      <c r="C57" s="48" t="s">
        <v>150</v>
      </c>
      <c r="D57" s="46" t="s">
        <v>136</v>
      </c>
      <c r="E57" s="10" t="s">
        <v>30</v>
      </c>
      <c r="F57" s="75">
        <v>0</v>
      </c>
      <c r="G57" s="30">
        <f t="shared" si="4"/>
        <v>0</v>
      </c>
      <c r="H57" s="82">
        <f t="shared" si="5"/>
        <v>0</v>
      </c>
      <c r="I57" s="82">
        <f t="shared" si="7"/>
        <v>0</v>
      </c>
      <c r="J57" s="30" t="str">
        <f t="shared" si="8"/>
        <v>MEJORA</v>
      </c>
    </row>
    <row r="58" spans="1:10" x14ac:dyDescent="0.25">
      <c r="A58" s="47" t="s">
        <v>153</v>
      </c>
      <c r="B58" s="47"/>
      <c r="C58" s="36" t="s">
        <v>149</v>
      </c>
      <c r="D58" s="45" t="s">
        <v>136</v>
      </c>
      <c r="E58" s="5" t="s">
        <v>128</v>
      </c>
      <c r="F58" s="75">
        <v>0</v>
      </c>
      <c r="G58" s="30">
        <f t="shared" si="4"/>
        <v>0</v>
      </c>
      <c r="H58" s="82">
        <f t="shared" si="5"/>
        <v>0</v>
      </c>
      <c r="I58" s="82">
        <f t="shared" si="7"/>
        <v>0</v>
      </c>
      <c r="J58" s="30" t="str">
        <f t="shared" si="8"/>
        <v>MEJORA</v>
      </c>
    </row>
    <row r="59" spans="1:10" x14ac:dyDescent="0.25">
      <c r="A59" s="47" t="s">
        <v>153</v>
      </c>
      <c r="B59" s="47"/>
      <c r="C59" s="36" t="s">
        <v>149</v>
      </c>
      <c r="D59" s="45" t="s">
        <v>136</v>
      </c>
      <c r="E59" s="5" t="s">
        <v>129</v>
      </c>
      <c r="F59" s="75">
        <v>0</v>
      </c>
      <c r="G59" s="30">
        <f t="shared" si="4"/>
        <v>0</v>
      </c>
      <c r="H59" s="82">
        <f t="shared" si="5"/>
        <v>0</v>
      </c>
      <c r="I59" s="82">
        <f t="shared" si="7"/>
        <v>0</v>
      </c>
      <c r="J59" s="30" t="str">
        <f t="shared" si="8"/>
        <v>MEJORA</v>
      </c>
    </row>
    <row r="60" spans="1:10" x14ac:dyDescent="0.25">
      <c r="A60" s="47" t="s">
        <v>153</v>
      </c>
      <c r="B60" s="47"/>
      <c r="C60" s="36" t="s">
        <v>149</v>
      </c>
      <c r="D60" s="45" t="s">
        <v>136</v>
      </c>
      <c r="E60" s="5" t="s">
        <v>31</v>
      </c>
      <c r="F60" s="75">
        <v>0</v>
      </c>
      <c r="G60" s="30">
        <f t="shared" si="4"/>
        <v>0</v>
      </c>
      <c r="H60" s="82">
        <f>H30/4</f>
        <v>0.64687500000000009</v>
      </c>
      <c r="I60" s="82">
        <f t="shared" si="7"/>
        <v>2.8031250000000001</v>
      </c>
      <c r="J60" s="30" t="str">
        <f t="shared" si="8"/>
        <v>MEJORA</v>
      </c>
    </row>
    <row r="61" spans="1:10" s="6" customFormat="1" x14ac:dyDescent="0.25">
      <c r="A61" s="39" t="s">
        <v>153</v>
      </c>
      <c r="B61" s="41"/>
      <c r="C61" s="39" t="s">
        <v>45</v>
      </c>
      <c r="D61" s="39" t="s">
        <v>181</v>
      </c>
      <c r="E61" s="39" t="s">
        <v>45</v>
      </c>
      <c r="F61" s="79">
        <f>SUM(F32:F60)</f>
        <v>0</v>
      </c>
      <c r="G61" s="44">
        <f>SUM(G32:G60)</f>
        <v>0</v>
      </c>
      <c r="H61" s="83">
        <f>SUM(H32:H60)</f>
        <v>46.575000000000003</v>
      </c>
      <c r="I61" s="83">
        <f>F31-H61</f>
        <v>201.82499999999999</v>
      </c>
      <c r="J61" s="30" t="str">
        <f t="shared" si="8"/>
        <v>MEJORA</v>
      </c>
    </row>
    <row r="62" spans="1:10" x14ac:dyDescent="0.25">
      <c r="A62" s="47" t="s">
        <v>153</v>
      </c>
      <c r="B62" s="47"/>
      <c r="C62" s="35" t="s">
        <v>148</v>
      </c>
      <c r="D62" s="38" t="s">
        <v>137</v>
      </c>
      <c r="E62" s="9" t="s">
        <v>108</v>
      </c>
      <c r="F62" s="75" cm="1">
        <f t="array" ref="F62:F90">TRANSPOSE(DIAGNÓSTICO!P58:AR58)</f>
        <v>0</v>
      </c>
      <c r="G62" s="30">
        <f>IFERROR((F62/$F$91),0)</f>
        <v>0</v>
      </c>
      <c r="H62" s="82">
        <f>H32</f>
        <v>1.9406250000000003</v>
      </c>
      <c r="I62" s="82">
        <f>((F2)-(H32+H62))</f>
        <v>6.4687500000000009</v>
      </c>
      <c r="J62" s="30" t="str">
        <f t="shared" si="8"/>
        <v>MEJORA</v>
      </c>
    </row>
    <row r="63" spans="1:10" x14ac:dyDescent="0.25">
      <c r="A63" s="47" t="s">
        <v>153</v>
      </c>
      <c r="B63" s="47"/>
      <c r="C63" s="35" t="s">
        <v>148</v>
      </c>
      <c r="D63" s="38" t="s">
        <v>137</v>
      </c>
      <c r="E63" s="9" t="s">
        <v>109</v>
      </c>
      <c r="F63" s="75">
        <v>0</v>
      </c>
      <c r="G63" s="30">
        <f t="shared" ref="G63:G89" si="9">IFERROR((F63/$F$91),0)</f>
        <v>0</v>
      </c>
      <c r="H63" s="82">
        <f t="shared" ref="H63:H89" si="10">H33</f>
        <v>4.5281250000000002</v>
      </c>
      <c r="I63" s="82">
        <f>((F3)-(H33+H63))</f>
        <v>15.093750000000002</v>
      </c>
      <c r="J63" s="30" t="str">
        <f>IF(F63&lt;=I63,$M$1,IF(F63=F33,$L$1,IF(F63&gt;F33,$N$1,0)))</f>
        <v>MEJORA</v>
      </c>
    </row>
    <row r="64" spans="1:10" x14ac:dyDescent="0.25">
      <c r="A64" s="47" t="s">
        <v>153</v>
      </c>
      <c r="B64" s="47"/>
      <c r="C64" s="35" t="s">
        <v>148</v>
      </c>
      <c r="D64" s="38" t="s">
        <v>137</v>
      </c>
      <c r="E64" s="9" t="s">
        <v>110</v>
      </c>
      <c r="F64" s="75">
        <v>0</v>
      </c>
      <c r="G64" s="30">
        <f t="shared" si="9"/>
        <v>0</v>
      </c>
      <c r="H64" s="82">
        <f t="shared" si="10"/>
        <v>2.5875000000000004</v>
      </c>
      <c r="I64" s="82">
        <f t="shared" ref="I64:I90" si="11">((F4)-(H34+H64))</f>
        <v>8.625</v>
      </c>
      <c r="J64" s="30" t="str">
        <f t="shared" si="8"/>
        <v>MEJORA</v>
      </c>
    </row>
    <row r="65" spans="1:10" x14ac:dyDescent="0.25">
      <c r="A65" s="47" t="s">
        <v>153</v>
      </c>
      <c r="B65" s="47"/>
      <c r="C65" s="35" t="s">
        <v>148</v>
      </c>
      <c r="D65" s="38" t="s">
        <v>137</v>
      </c>
      <c r="E65" s="9" t="s">
        <v>111</v>
      </c>
      <c r="F65" s="75">
        <v>0</v>
      </c>
      <c r="G65" s="30">
        <f t="shared" si="9"/>
        <v>0</v>
      </c>
      <c r="H65" s="82">
        <f t="shared" si="10"/>
        <v>2.5875000000000004</v>
      </c>
      <c r="I65" s="82">
        <f t="shared" si="11"/>
        <v>8.625</v>
      </c>
      <c r="J65" s="30" t="str">
        <f t="shared" si="8"/>
        <v>MEJORA</v>
      </c>
    </row>
    <row r="66" spans="1:10" x14ac:dyDescent="0.25">
      <c r="A66" s="47" t="s">
        <v>153</v>
      </c>
      <c r="B66" s="47"/>
      <c r="C66" s="35" t="s">
        <v>148</v>
      </c>
      <c r="D66" s="38" t="s">
        <v>137</v>
      </c>
      <c r="E66" s="9" t="s">
        <v>112</v>
      </c>
      <c r="F66" s="75">
        <v>0</v>
      </c>
      <c r="G66" s="30">
        <f t="shared" si="9"/>
        <v>0</v>
      </c>
      <c r="H66" s="82">
        <f t="shared" si="10"/>
        <v>5.1750000000000007</v>
      </c>
      <c r="I66" s="82">
        <f t="shared" si="11"/>
        <v>17.25</v>
      </c>
      <c r="J66" s="30" t="str">
        <f t="shared" si="8"/>
        <v>MEJORA</v>
      </c>
    </row>
    <row r="67" spans="1:10" x14ac:dyDescent="0.25">
      <c r="A67" s="47" t="s">
        <v>153</v>
      </c>
      <c r="B67" s="47"/>
      <c r="C67" s="35" t="s">
        <v>148</v>
      </c>
      <c r="D67" s="38" t="s">
        <v>137</v>
      </c>
      <c r="E67" s="9" t="s">
        <v>113</v>
      </c>
      <c r="F67" s="75">
        <v>0</v>
      </c>
      <c r="G67" s="30">
        <f t="shared" si="9"/>
        <v>0</v>
      </c>
      <c r="H67" s="82">
        <f t="shared" si="10"/>
        <v>5.8218750000000004</v>
      </c>
      <c r="I67" s="82">
        <f t="shared" si="11"/>
        <v>19.406250000000004</v>
      </c>
      <c r="J67" s="30" t="str">
        <f t="shared" si="8"/>
        <v>MEJORA</v>
      </c>
    </row>
    <row r="68" spans="1:10" x14ac:dyDescent="0.25">
      <c r="A68" s="47" t="s">
        <v>153</v>
      </c>
      <c r="B68" s="47"/>
      <c r="C68" s="35" t="s">
        <v>148</v>
      </c>
      <c r="D68" s="38" t="s">
        <v>137</v>
      </c>
      <c r="E68" s="9" t="s">
        <v>114</v>
      </c>
      <c r="F68" s="75">
        <v>0</v>
      </c>
      <c r="G68" s="30">
        <f t="shared" si="9"/>
        <v>0</v>
      </c>
      <c r="H68" s="82">
        <f t="shared" si="10"/>
        <v>6.46875</v>
      </c>
      <c r="I68" s="82">
        <f t="shared" si="11"/>
        <v>21.5625</v>
      </c>
      <c r="J68" s="30" t="str">
        <f t="shared" si="8"/>
        <v>MEJORA</v>
      </c>
    </row>
    <row r="69" spans="1:10" x14ac:dyDescent="0.25">
      <c r="A69" s="47" t="s">
        <v>153</v>
      </c>
      <c r="B69" s="47"/>
      <c r="C69" s="35" t="s">
        <v>148</v>
      </c>
      <c r="D69" s="38" t="s">
        <v>137</v>
      </c>
      <c r="E69" s="9" t="s">
        <v>115</v>
      </c>
      <c r="F69" s="75">
        <v>0</v>
      </c>
      <c r="G69" s="30">
        <f t="shared" si="9"/>
        <v>0</v>
      </c>
      <c r="H69" s="82">
        <f t="shared" si="10"/>
        <v>3.234375</v>
      </c>
      <c r="I69" s="82">
        <f t="shared" si="11"/>
        <v>10.78125</v>
      </c>
      <c r="J69" s="30" t="str">
        <f t="shared" si="8"/>
        <v>MEJORA</v>
      </c>
    </row>
    <row r="70" spans="1:10" x14ac:dyDescent="0.25">
      <c r="A70" s="47" t="s">
        <v>153</v>
      </c>
      <c r="B70" s="47"/>
      <c r="C70" s="35" t="s">
        <v>148</v>
      </c>
      <c r="D70" s="38" t="s">
        <v>137</v>
      </c>
      <c r="E70" s="9" t="s">
        <v>116</v>
      </c>
      <c r="F70" s="75">
        <v>0</v>
      </c>
      <c r="G70" s="30">
        <f t="shared" si="9"/>
        <v>0</v>
      </c>
      <c r="H70" s="82">
        <f t="shared" si="10"/>
        <v>1.2937500000000002</v>
      </c>
      <c r="I70" s="82">
        <f t="shared" si="11"/>
        <v>4.3125</v>
      </c>
      <c r="J70" s="30" t="str">
        <f t="shared" si="8"/>
        <v>MEJORA</v>
      </c>
    </row>
    <row r="71" spans="1:10" x14ac:dyDescent="0.25">
      <c r="A71" s="47" t="s">
        <v>153</v>
      </c>
      <c r="B71" s="47"/>
      <c r="C71" s="35" t="s">
        <v>148</v>
      </c>
      <c r="D71" s="38" t="s">
        <v>137</v>
      </c>
      <c r="E71" s="9" t="s">
        <v>117</v>
      </c>
      <c r="F71" s="75">
        <v>0</v>
      </c>
      <c r="G71" s="30">
        <f t="shared" si="9"/>
        <v>0</v>
      </c>
      <c r="H71" s="82">
        <f t="shared" si="10"/>
        <v>2.5875000000000004</v>
      </c>
      <c r="I71" s="82">
        <f t="shared" si="11"/>
        <v>8.625</v>
      </c>
      <c r="J71" s="30" t="str">
        <f t="shared" si="8"/>
        <v>MEJORA</v>
      </c>
    </row>
    <row r="72" spans="1:10" x14ac:dyDescent="0.25">
      <c r="A72" s="47" t="s">
        <v>153</v>
      </c>
      <c r="B72" s="47"/>
      <c r="C72" s="36" t="s">
        <v>62</v>
      </c>
      <c r="D72" s="45" t="s">
        <v>137</v>
      </c>
      <c r="E72" s="5" t="s">
        <v>118</v>
      </c>
      <c r="F72" s="75">
        <v>0</v>
      </c>
      <c r="G72" s="30">
        <f t="shared" si="9"/>
        <v>0</v>
      </c>
      <c r="H72" s="82">
        <f t="shared" si="10"/>
        <v>1.2937500000000002</v>
      </c>
      <c r="I72" s="82">
        <f t="shared" si="11"/>
        <v>4.3125</v>
      </c>
      <c r="J72" s="30" t="str">
        <f t="shared" ref="J72:J96" si="12">IF(F72&lt;=I72,$M$1,IF(F72=F42,$L$1,IF(F72&gt;F42,$N$1,0)))</f>
        <v>MEJORA</v>
      </c>
    </row>
    <row r="73" spans="1:10" x14ac:dyDescent="0.25">
      <c r="A73" s="47" t="s">
        <v>153</v>
      </c>
      <c r="B73" s="47"/>
      <c r="C73" s="36" t="s">
        <v>62</v>
      </c>
      <c r="D73" s="45" t="s">
        <v>137</v>
      </c>
      <c r="E73" s="5" t="s">
        <v>24</v>
      </c>
      <c r="F73" s="75">
        <v>0</v>
      </c>
      <c r="G73" s="30">
        <f t="shared" si="9"/>
        <v>0</v>
      </c>
      <c r="H73" s="82">
        <f t="shared" si="10"/>
        <v>0.64687500000000009</v>
      </c>
      <c r="I73" s="82">
        <f t="shared" si="11"/>
        <v>2.15625</v>
      </c>
      <c r="J73" s="30" t="str">
        <f t="shared" si="12"/>
        <v>MEJORA</v>
      </c>
    </row>
    <row r="74" spans="1:10" x14ac:dyDescent="0.25">
      <c r="A74" s="47" t="s">
        <v>153</v>
      </c>
      <c r="B74" s="47"/>
      <c r="C74" s="36" t="s">
        <v>62</v>
      </c>
      <c r="D74" s="45" t="s">
        <v>137</v>
      </c>
      <c r="E74" s="5" t="s">
        <v>25</v>
      </c>
      <c r="F74" s="75">
        <v>0</v>
      </c>
      <c r="G74" s="30">
        <f t="shared" si="9"/>
        <v>0</v>
      </c>
      <c r="H74" s="82">
        <f t="shared" si="10"/>
        <v>0</v>
      </c>
      <c r="I74" s="82">
        <f t="shared" si="11"/>
        <v>0</v>
      </c>
      <c r="J74" s="30" t="str">
        <f t="shared" si="12"/>
        <v>MEJORA</v>
      </c>
    </row>
    <row r="75" spans="1:10" x14ac:dyDescent="0.25">
      <c r="A75" s="47" t="s">
        <v>153</v>
      </c>
      <c r="B75" s="47"/>
      <c r="C75" s="36" t="s">
        <v>62</v>
      </c>
      <c r="D75" s="45" t="s">
        <v>137</v>
      </c>
      <c r="E75" s="5" t="s">
        <v>26</v>
      </c>
      <c r="F75" s="75">
        <v>0</v>
      </c>
      <c r="G75" s="30">
        <f t="shared" si="9"/>
        <v>0</v>
      </c>
      <c r="H75" s="82">
        <f t="shared" si="10"/>
        <v>0.64687500000000009</v>
      </c>
      <c r="I75" s="82">
        <f t="shared" si="11"/>
        <v>2.15625</v>
      </c>
      <c r="J75" s="30" t="str">
        <f t="shared" si="12"/>
        <v>MEJORA</v>
      </c>
    </row>
    <row r="76" spans="1:10" x14ac:dyDescent="0.25">
      <c r="A76" s="47" t="s">
        <v>153</v>
      </c>
      <c r="B76" s="47"/>
      <c r="C76" s="36" t="s">
        <v>62</v>
      </c>
      <c r="D76" s="45" t="s">
        <v>137</v>
      </c>
      <c r="E76" s="5" t="s">
        <v>27</v>
      </c>
      <c r="F76" s="75">
        <v>0</v>
      </c>
      <c r="G76" s="30">
        <f t="shared" si="9"/>
        <v>0</v>
      </c>
      <c r="H76" s="82">
        <f t="shared" si="10"/>
        <v>0</v>
      </c>
      <c r="I76" s="82">
        <f t="shared" si="11"/>
        <v>0</v>
      </c>
      <c r="J76" s="30" t="str">
        <f t="shared" si="12"/>
        <v>MEJORA</v>
      </c>
    </row>
    <row r="77" spans="1:10" x14ac:dyDescent="0.25">
      <c r="A77" s="47" t="s">
        <v>153</v>
      </c>
      <c r="B77" s="47"/>
      <c r="C77" s="36" t="s">
        <v>62</v>
      </c>
      <c r="D77" s="45" t="s">
        <v>137</v>
      </c>
      <c r="E77" s="5" t="s">
        <v>28</v>
      </c>
      <c r="F77" s="75">
        <v>0</v>
      </c>
      <c r="G77" s="30">
        <f t="shared" si="9"/>
        <v>0</v>
      </c>
      <c r="H77" s="82">
        <f t="shared" si="10"/>
        <v>1.9406250000000003</v>
      </c>
      <c r="I77" s="82">
        <f t="shared" si="11"/>
        <v>6.4687500000000009</v>
      </c>
      <c r="J77" s="30" t="str">
        <f t="shared" si="12"/>
        <v>MEJORA</v>
      </c>
    </row>
    <row r="78" spans="1:10" x14ac:dyDescent="0.25">
      <c r="A78" s="47" t="s">
        <v>153</v>
      </c>
      <c r="B78" s="47"/>
      <c r="C78" s="36" t="s">
        <v>62</v>
      </c>
      <c r="D78" s="45" t="s">
        <v>137</v>
      </c>
      <c r="E78" s="5" t="s">
        <v>119</v>
      </c>
      <c r="F78" s="75">
        <v>0</v>
      </c>
      <c r="G78" s="30">
        <f t="shared" si="9"/>
        <v>0</v>
      </c>
      <c r="H78" s="82">
        <f t="shared" si="10"/>
        <v>1.9406250000000003</v>
      </c>
      <c r="I78" s="82">
        <f t="shared" si="11"/>
        <v>6.4687500000000009</v>
      </c>
      <c r="J78" s="30" t="str">
        <f t="shared" si="12"/>
        <v>MEJORA</v>
      </c>
    </row>
    <row r="79" spans="1:10" x14ac:dyDescent="0.25">
      <c r="A79" s="47" t="s">
        <v>153</v>
      </c>
      <c r="B79" s="47"/>
      <c r="C79" s="36" t="s">
        <v>62</v>
      </c>
      <c r="D79" s="45" t="s">
        <v>137</v>
      </c>
      <c r="E79" s="5" t="s">
        <v>120</v>
      </c>
      <c r="F79" s="75">
        <v>0</v>
      </c>
      <c r="G79" s="30">
        <f t="shared" si="9"/>
        <v>0</v>
      </c>
      <c r="H79" s="82">
        <f t="shared" si="10"/>
        <v>0</v>
      </c>
      <c r="I79" s="82">
        <f t="shared" si="11"/>
        <v>0</v>
      </c>
      <c r="J79" s="30" t="str">
        <f t="shared" si="12"/>
        <v>MEJORA</v>
      </c>
    </row>
    <row r="80" spans="1:10" x14ac:dyDescent="0.25">
      <c r="A80" s="47" t="s">
        <v>153</v>
      </c>
      <c r="B80" s="47"/>
      <c r="C80" s="36" t="s">
        <v>62</v>
      </c>
      <c r="D80" s="45" t="s">
        <v>137</v>
      </c>
      <c r="E80" s="5" t="s">
        <v>121</v>
      </c>
      <c r="F80" s="75">
        <v>0</v>
      </c>
      <c r="G80" s="30">
        <f t="shared" si="9"/>
        <v>0</v>
      </c>
      <c r="H80" s="82">
        <f t="shared" si="10"/>
        <v>0</v>
      </c>
      <c r="I80" s="82">
        <f t="shared" si="11"/>
        <v>0</v>
      </c>
      <c r="J80" s="30" t="str">
        <f t="shared" si="12"/>
        <v>MEJORA</v>
      </c>
    </row>
    <row r="81" spans="1:10" x14ac:dyDescent="0.25">
      <c r="A81" s="47" t="s">
        <v>153</v>
      </c>
      <c r="B81" s="47"/>
      <c r="C81" s="36" t="s">
        <v>62</v>
      </c>
      <c r="D81" s="45" t="s">
        <v>137</v>
      </c>
      <c r="E81" s="5" t="s">
        <v>122</v>
      </c>
      <c r="F81" s="75">
        <v>0</v>
      </c>
      <c r="G81" s="30">
        <f t="shared" si="9"/>
        <v>0</v>
      </c>
      <c r="H81" s="82">
        <f t="shared" si="10"/>
        <v>0</v>
      </c>
      <c r="I81" s="82">
        <f t="shared" si="11"/>
        <v>0</v>
      </c>
      <c r="J81" s="30" t="str">
        <f t="shared" si="12"/>
        <v>MEJORA</v>
      </c>
    </row>
    <row r="82" spans="1:10" x14ac:dyDescent="0.25">
      <c r="A82" s="47" t="s">
        <v>153</v>
      </c>
      <c r="B82" s="47"/>
      <c r="C82" s="48" t="s">
        <v>150</v>
      </c>
      <c r="D82" s="46" t="s">
        <v>137</v>
      </c>
      <c r="E82" s="10" t="s">
        <v>123</v>
      </c>
      <c r="F82" s="75">
        <v>0</v>
      </c>
      <c r="G82" s="30">
        <f t="shared" si="9"/>
        <v>0</v>
      </c>
      <c r="H82" s="82">
        <f t="shared" si="10"/>
        <v>2.5875000000000004</v>
      </c>
      <c r="I82" s="82">
        <f t="shared" si="11"/>
        <v>8.625</v>
      </c>
      <c r="J82" s="30" t="str">
        <f t="shared" si="12"/>
        <v>MEJORA</v>
      </c>
    </row>
    <row r="83" spans="1:10" x14ac:dyDescent="0.25">
      <c r="A83" s="47" t="s">
        <v>153</v>
      </c>
      <c r="B83" s="47"/>
      <c r="C83" s="48" t="s">
        <v>150</v>
      </c>
      <c r="D83" s="46" t="s">
        <v>137</v>
      </c>
      <c r="E83" s="10" t="s">
        <v>124</v>
      </c>
      <c r="F83" s="75">
        <v>0</v>
      </c>
      <c r="G83" s="30">
        <f t="shared" si="9"/>
        <v>0</v>
      </c>
      <c r="H83" s="82">
        <f t="shared" si="10"/>
        <v>0.64687500000000009</v>
      </c>
      <c r="I83" s="82">
        <f t="shared" si="11"/>
        <v>2.15625</v>
      </c>
      <c r="J83" s="30" t="str">
        <f t="shared" si="12"/>
        <v>MEJORA</v>
      </c>
    </row>
    <row r="84" spans="1:10" x14ac:dyDescent="0.25">
      <c r="A84" s="47" t="s">
        <v>153</v>
      </c>
      <c r="B84" s="47"/>
      <c r="C84" s="48" t="s">
        <v>150</v>
      </c>
      <c r="D84" s="46" t="s">
        <v>137</v>
      </c>
      <c r="E84" s="10" t="s">
        <v>125</v>
      </c>
      <c r="F84" s="75">
        <v>0</v>
      </c>
      <c r="G84" s="30">
        <f t="shared" si="9"/>
        <v>0</v>
      </c>
      <c r="H84" s="82">
        <f t="shared" si="10"/>
        <v>0</v>
      </c>
      <c r="I84" s="82">
        <f t="shared" si="11"/>
        <v>0</v>
      </c>
      <c r="J84" s="30" t="str">
        <f t="shared" si="12"/>
        <v>MEJORA</v>
      </c>
    </row>
    <row r="85" spans="1:10" x14ac:dyDescent="0.25">
      <c r="A85" s="47" t="s">
        <v>153</v>
      </c>
      <c r="B85" s="47"/>
      <c r="C85" s="48" t="s">
        <v>150</v>
      </c>
      <c r="D85" s="46" t="s">
        <v>137</v>
      </c>
      <c r="E85" s="10" t="s">
        <v>126</v>
      </c>
      <c r="F85" s="75">
        <v>0</v>
      </c>
      <c r="G85" s="30">
        <f t="shared" si="9"/>
        <v>0</v>
      </c>
      <c r="H85" s="82">
        <f t="shared" si="10"/>
        <v>0</v>
      </c>
      <c r="I85" s="82">
        <f t="shared" si="11"/>
        <v>0</v>
      </c>
      <c r="J85" s="30" t="str">
        <f t="shared" si="12"/>
        <v>MEJORA</v>
      </c>
    </row>
    <row r="86" spans="1:10" x14ac:dyDescent="0.25">
      <c r="A86" s="47" t="s">
        <v>153</v>
      </c>
      <c r="B86" s="47"/>
      <c r="C86" s="48" t="s">
        <v>150</v>
      </c>
      <c r="D86" s="46" t="s">
        <v>137</v>
      </c>
      <c r="E86" s="10" t="s">
        <v>127</v>
      </c>
      <c r="F86" s="75">
        <v>0</v>
      </c>
      <c r="G86" s="30">
        <f t="shared" si="9"/>
        <v>0</v>
      </c>
      <c r="H86" s="82">
        <f t="shared" si="10"/>
        <v>0</v>
      </c>
      <c r="I86" s="82">
        <f t="shared" si="11"/>
        <v>0</v>
      </c>
      <c r="J86" s="30" t="str">
        <f t="shared" si="12"/>
        <v>MEJORA</v>
      </c>
    </row>
    <row r="87" spans="1:10" x14ac:dyDescent="0.25">
      <c r="A87" s="47" t="s">
        <v>153</v>
      </c>
      <c r="B87" s="47"/>
      <c r="C87" s="48" t="s">
        <v>150</v>
      </c>
      <c r="D87" s="46" t="s">
        <v>137</v>
      </c>
      <c r="E87" s="10" t="s">
        <v>30</v>
      </c>
      <c r="F87" s="75">
        <v>0</v>
      </c>
      <c r="G87" s="30">
        <f t="shared" si="9"/>
        <v>0</v>
      </c>
      <c r="H87" s="82">
        <f t="shared" si="10"/>
        <v>0</v>
      </c>
      <c r="I87" s="82">
        <f t="shared" si="11"/>
        <v>0</v>
      </c>
      <c r="J87" s="30" t="str">
        <f t="shared" si="12"/>
        <v>MEJORA</v>
      </c>
    </row>
    <row r="88" spans="1:10" x14ac:dyDescent="0.25">
      <c r="A88" s="47" t="s">
        <v>153</v>
      </c>
      <c r="B88" s="47"/>
      <c r="C88" s="36" t="s">
        <v>149</v>
      </c>
      <c r="D88" s="45" t="s">
        <v>137</v>
      </c>
      <c r="E88" s="5" t="s">
        <v>128</v>
      </c>
      <c r="F88" s="75">
        <v>0</v>
      </c>
      <c r="G88" s="30">
        <f t="shared" si="9"/>
        <v>0</v>
      </c>
      <c r="H88" s="82">
        <f t="shared" si="10"/>
        <v>0</v>
      </c>
      <c r="I88" s="82">
        <f t="shared" si="11"/>
        <v>0</v>
      </c>
      <c r="J88" s="30" t="str">
        <f t="shared" si="12"/>
        <v>MEJORA</v>
      </c>
    </row>
    <row r="89" spans="1:10" x14ac:dyDescent="0.25">
      <c r="A89" s="47" t="s">
        <v>153</v>
      </c>
      <c r="B89" s="47"/>
      <c r="C89" s="36" t="s">
        <v>149</v>
      </c>
      <c r="D89" s="45" t="s">
        <v>137</v>
      </c>
      <c r="E89" s="5" t="s">
        <v>129</v>
      </c>
      <c r="F89" s="75">
        <v>0</v>
      </c>
      <c r="G89" s="30">
        <f t="shared" si="9"/>
        <v>0</v>
      </c>
      <c r="H89" s="82">
        <f t="shared" si="10"/>
        <v>0</v>
      </c>
      <c r="I89" s="82">
        <f t="shared" si="11"/>
        <v>0</v>
      </c>
      <c r="J89" s="30" t="str">
        <f t="shared" si="12"/>
        <v>MEJORA</v>
      </c>
    </row>
    <row r="90" spans="1:10" x14ac:dyDescent="0.25">
      <c r="A90" s="47" t="s">
        <v>153</v>
      </c>
      <c r="B90" s="47"/>
      <c r="C90" s="36" t="s">
        <v>149</v>
      </c>
      <c r="D90" s="45" t="s">
        <v>137</v>
      </c>
      <c r="E90" s="5" t="s">
        <v>31</v>
      </c>
      <c r="F90" s="75">
        <v>0</v>
      </c>
      <c r="G90" s="30">
        <f>IFERROR((F90/$F$91),0)</f>
        <v>0</v>
      </c>
      <c r="H90" s="82">
        <f>H60</f>
        <v>0.64687500000000009</v>
      </c>
      <c r="I90" s="82">
        <f t="shared" si="11"/>
        <v>2.15625</v>
      </c>
      <c r="J90" s="30" t="str">
        <f t="shared" si="12"/>
        <v>MEJORA</v>
      </c>
    </row>
    <row r="91" spans="1:10" s="6" customFormat="1" x14ac:dyDescent="0.25">
      <c r="A91" s="39" t="s">
        <v>153</v>
      </c>
      <c r="B91" s="41"/>
      <c r="C91" s="39" t="s">
        <v>45</v>
      </c>
      <c r="D91" s="39" t="s">
        <v>184</v>
      </c>
      <c r="E91" s="39" t="s">
        <v>45</v>
      </c>
      <c r="F91" s="79">
        <f>SUM(F62:F90)</f>
        <v>0</v>
      </c>
      <c r="G91" s="44">
        <f>SUM(G62:G90)</f>
        <v>0</v>
      </c>
      <c r="H91" s="83">
        <f>SUM(H62:H90)</f>
        <v>46.575000000000003</v>
      </c>
      <c r="I91" s="83">
        <f>((F31)-(H61+H91))</f>
        <v>155.24999999999997</v>
      </c>
      <c r="J91" s="30" t="str">
        <f t="shared" si="12"/>
        <v>MEJORA</v>
      </c>
    </row>
    <row r="92" spans="1:10" x14ac:dyDescent="0.25">
      <c r="A92" s="47" t="s">
        <v>153</v>
      </c>
      <c r="B92" s="47"/>
      <c r="C92" s="35" t="s">
        <v>148</v>
      </c>
      <c r="D92" s="38" t="s">
        <v>138</v>
      </c>
      <c r="E92" s="9" t="s">
        <v>108</v>
      </c>
      <c r="F92" s="75" cm="1">
        <f t="array" ref="F92:F120">TRANSPOSE(DIAGNÓSTICO!P77:AR77)</f>
        <v>0</v>
      </c>
      <c r="G92" s="30">
        <f>IFERROR((F92/$F$121),0)</f>
        <v>0</v>
      </c>
      <c r="H92" s="82">
        <f>H32</f>
        <v>1.9406250000000003</v>
      </c>
      <c r="I92" s="82">
        <f>((F2)-(H32+H62+H92))</f>
        <v>4.5281250000000011</v>
      </c>
      <c r="J92" s="30" t="str">
        <f t="shared" si="12"/>
        <v>MEJORA</v>
      </c>
    </row>
    <row r="93" spans="1:10" x14ac:dyDescent="0.25">
      <c r="A93" s="47" t="s">
        <v>153</v>
      </c>
      <c r="B93" s="47"/>
      <c r="C93" s="35" t="s">
        <v>148</v>
      </c>
      <c r="D93" s="38" t="s">
        <v>138</v>
      </c>
      <c r="E93" s="9" t="s">
        <v>109</v>
      </c>
      <c r="F93" s="75">
        <v>0</v>
      </c>
      <c r="G93" s="30">
        <f t="shared" ref="G93:G120" si="13">IFERROR((F93/$F$121),0)</f>
        <v>0</v>
      </c>
      <c r="H93" s="82">
        <f t="shared" ref="H93:H120" si="14">H33</f>
        <v>4.5281250000000002</v>
      </c>
      <c r="I93" s="82">
        <f t="shared" ref="I93:I121" si="15">((F3)-(H33+H63+H93))</f>
        <v>10.565625000000001</v>
      </c>
      <c r="J93" s="30" t="str">
        <f t="shared" si="12"/>
        <v>MEJORA</v>
      </c>
    </row>
    <row r="94" spans="1:10" x14ac:dyDescent="0.25">
      <c r="A94" s="47" t="s">
        <v>153</v>
      </c>
      <c r="B94" s="47"/>
      <c r="C94" s="35" t="s">
        <v>148</v>
      </c>
      <c r="D94" s="38" t="s">
        <v>138</v>
      </c>
      <c r="E94" s="9" t="s">
        <v>110</v>
      </c>
      <c r="F94" s="75">
        <v>0</v>
      </c>
      <c r="G94" s="30">
        <f t="shared" si="13"/>
        <v>0</v>
      </c>
      <c r="H94" s="82">
        <f t="shared" si="14"/>
        <v>2.5875000000000004</v>
      </c>
      <c r="I94" s="82">
        <f t="shared" si="15"/>
        <v>6.0374999999999996</v>
      </c>
      <c r="J94" s="30" t="str">
        <f t="shared" si="12"/>
        <v>MEJORA</v>
      </c>
    </row>
    <row r="95" spans="1:10" x14ac:dyDescent="0.25">
      <c r="A95" s="47" t="s">
        <v>153</v>
      </c>
      <c r="B95" s="47"/>
      <c r="C95" s="35" t="s">
        <v>148</v>
      </c>
      <c r="D95" s="38" t="s">
        <v>138</v>
      </c>
      <c r="E95" s="9" t="s">
        <v>111</v>
      </c>
      <c r="F95" s="75">
        <v>0</v>
      </c>
      <c r="G95" s="30">
        <f t="shared" si="13"/>
        <v>0</v>
      </c>
      <c r="H95" s="82">
        <f t="shared" si="14"/>
        <v>2.5875000000000004</v>
      </c>
      <c r="I95" s="82">
        <f t="shared" si="15"/>
        <v>6.0374999999999996</v>
      </c>
      <c r="J95" s="30" t="str">
        <f t="shared" si="12"/>
        <v>MEJORA</v>
      </c>
    </row>
    <row r="96" spans="1:10" x14ac:dyDescent="0.25">
      <c r="A96" s="47" t="s">
        <v>153</v>
      </c>
      <c r="B96" s="47"/>
      <c r="C96" s="35" t="s">
        <v>148</v>
      </c>
      <c r="D96" s="38" t="s">
        <v>138</v>
      </c>
      <c r="E96" s="9" t="s">
        <v>112</v>
      </c>
      <c r="F96" s="75">
        <v>0</v>
      </c>
      <c r="G96" s="30">
        <f t="shared" si="13"/>
        <v>0</v>
      </c>
      <c r="H96" s="82">
        <f t="shared" si="14"/>
        <v>5.1750000000000007</v>
      </c>
      <c r="I96" s="82">
        <f t="shared" si="15"/>
        <v>12.074999999999999</v>
      </c>
      <c r="J96" s="30" t="str">
        <f t="shared" si="12"/>
        <v>MEJORA</v>
      </c>
    </row>
    <row r="97" spans="1:10" x14ac:dyDescent="0.25">
      <c r="A97" s="47" t="s">
        <v>153</v>
      </c>
      <c r="B97" s="47"/>
      <c r="C97" s="35" t="s">
        <v>148</v>
      </c>
      <c r="D97" s="38" t="s">
        <v>138</v>
      </c>
      <c r="E97" s="9" t="s">
        <v>113</v>
      </c>
      <c r="F97" s="75">
        <v>0</v>
      </c>
      <c r="G97" s="30">
        <f t="shared" si="13"/>
        <v>0</v>
      </c>
      <c r="H97" s="82">
        <f t="shared" si="14"/>
        <v>5.8218750000000004</v>
      </c>
      <c r="I97" s="82">
        <f t="shared" si="15"/>
        <v>13.584375000000001</v>
      </c>
      <c r="J97" s="30" t="str">
        <f t="shared" ref="J97:J121" si="16">IF(F97&lt;=I97,$M$1,IF(F97=F67,$L$1,IF(F97&gt;F67,$N$1,0)))</f>
        <v>MEJORA</v>
      </c>
    </row>
    <row r="98" spans="1:10" x14ac:dyDescent="0.25">
      <c r="A98" s="47" t="s">
        <v>153</v>
      </c>
      <c r="B98" s="47"/>
      <c r="C98" s="35" t="s">
        <v>148</v>
      </c>
      <c r="D98" s="38" t="s">
        <v>138</v>
      </c>
      <c r="E98" s="9" t="s">
        <v>114</v>
      </c>
      <c r="F98" s="75">
        <v>0</v>
      </c>
      <c r="G98" s="30">
        <f t="shared" si="13"/>
        <v>0</v>
      </c>
      <c r="H98" s="82">
        <f t="shared" si="14"/>
        <v>6.46875</v>
      </c>
      <c r="I98" s="82">
        <f t="shared" si="15"/>
        <v>15.09375</v>
      </c>
      <c r="J98" s="30" t="str">
        <f t="shared" si="16"/>
        <v>MEJORA</v>
      </c>
    </row>
    <row r="99" spans="1:10" x14ac:dyDescent="0.25">
      <c r="A99" s="47" t="s">
        <v>153</v>
      </c>
      <c r="B99" s="47"/>
      <c r="C99" s="35" t="s">
        <v>148</v>
      </c>
      <c r="D99" s="38" t="s">
        <v>138</v>
      </c>
      <c r="E99" s="9" t="s">
        <v>115</v>
      </c>
      <c r="F99" s="75">
        <v>0</v>
      </c>
      <c r="G99" s="30">
        <f t="shared" si="13"/>
        <v>0</v>
      </c>
      <c r="H99" s="82">
        <f t="shared" si="14"/>
        <v>3.234375</v>
      </c>
      <c r="I99" s="82">
        <f t="shared" si="15"/>
        <v>7.546875</v>
      </c>
      <c r="J99" s="30" t="str">
        <f t="shared" si="16"/>
        <v>MEJORA</v>
      </c>
    </row>
    <row r="100" spans="1:10" x14ac:dyDescent="0.25">
      <c r="A100" s="47" t="s">
        <v>153</v>
      </c>
      <c r="B100" s="47"/>
      <c r="C100" s="35" t="s">
        <v>148</v>
      </c>
      <c r="D100" s="38" t="s">
        <v>138</v>
      </c>
      <c r="E100" s="9" t="s">
        <v>116</v>
      </c>
      <c r="F100" s="75">
        <v>0</v>
      </c>
      <c r="G100" s="30">
        <f t="shared" si="13"/>
        <v>0</v>
      </c>
      <c r="H100" s="82">
        <f t="shared" si="14"/>
        <v>1.2937500000000002</v>
      </c>
      <c r="I100" s="82">
        <f t="shared" si="15"/>
        <v>3.0187499999999998</v>
      </c>
      <c r="J100" s="30" t="str">
        <f t="shared" si="16"/>
        <v>MEJORA</v>
      </c>
    </row>
    <row r="101" spans="1:10" x14ac:dyDescent="0.25">
      <c r="A101" s="47" t="s">
        <v>153</v>
      </c>
      <c r="B101" s="47"/>
      <c r="C101" s="35" t="s">
        <v>148</v>
      </c>
      <c r="D101" s="38" t="s">
        <v>138</v>
      </c>
      <c r="E101" s="9" t="s">
        <v>117</v>
      </c>
      <c r="F101" s="75">
        <v>0</v>
      </c>
      <c r="G101" s="30">
        <f t="shared" si="13"/>
        <v>0</v>
      </c>
      <c r="H101" s="82">
        <f t="shared" si="14"/>
        <v>2.5875000000000004</v>
      </c>
      <c r="I101" s="82">
        <f t="shared" si="15"/>
        <v>6.0374999999999996</v>
      </c>
      <c r="J101" s="30" t="str">
        <f t="shared" si="16"/>
        <v>MEJORA</v>
      </c>
    </row>
    <row r="102" spans="1:10" x14ac:dyDescent="0.25">
      <c r="A102" s="47" t="s">
        <v>153</v>
      </c>
      <c r="B102" s="47"/>
      <c r="C102" s="36" t="s">
        <v>62</v>
      </c>
      <c r="D102" s="45" t="s">
        <v>138</v>
      </c>
      <c r="E102" s="5" t="s">
        <v>118</v>
      </c>
      <c r="F102" s="75">
        <v>0</v>
      </c>
      <c r="G102" s="30">
        <f t="shared" si="13"/>
        <v>0</v>
      </c>
      <c r="H102" s="82">
        <f t="shared" si="14"/>
        <v>1.2937500000000002</v>
      </c>
      <c r="I102" s="82">
        <f t="shared" si="15"/>
        <v>3.0187499999999998</v>
      </c>
      <c r="J102" s="30" t="str">
        <f t="shared" si="16"/>
        <v>MEJORA</v>
      </c>
    </row>
    <row r="103" spans="1:10" x14ac:dyDescent="0.25">
      <c r="A103" s="47" t="s">
        <v>153</v>
      </c>
      <c r="B103" s="47"/>
      <c r="C103" s="36" t="s">
        <v>62</v>
      </c>
      <c r="D103" s="45" t="s">
        <v>138</v>
      </c>
      <c r="E103" s="5" t="s">
        <v>24</v>
      </c>
      <c r="F103" s="75">
        <v>0</v>
      </c>
      <c r="G103" s="30">
        <f t="shared" si="13"/>
        <v>0</v>
      </c>
      <c r="H103" s="82">
        <f t="shared" si="14"/>
        <v>0.64687500000000009</v>
      </c>
      <c r="I103" s="82">
        <f t="shared" si="15"/>
        <v>1.5093749999999999</v>
      </c>
      <c r="J103" s="30" t="str">
        <f t="shared" si="16"/>
        <v>MEJORA</v>
      </c>
    </row>
    <row r="104" spans="1:10" x14ac:dyDescent="0.25">
      <c r="A104" s="47" t="s">
        <v>153</v>
      </c>
      <c r="B104" s="47"/>
      <c r="C104" s="36" t="s">
        <v>62</v>
      </c>
      <c r="D104" s="45" t="s">
        <v>138</v>
      </c>
      <c r="E104" s="5" t="s">
        <v>25</v>
      </c>
      <c r="F104" s="75">
        <v>0</v>
      </c>
      <c r="G104" s="30">
        <f t="shared" si="13"/>
        <v>0</v>
      </c>
      <c r="H104" s="82">
        <f t="shared" si="14"/>
        <v>0</v>
      </c>
      <c r="I104" s="82">
        <f t="shared" si="15"/>
        <v>0</v>
      </c>
      <c r="J104" s="30" t="str">
        <f t="shared" si="16"/>
        <v>MEJORA</v>
      </c>
    </row>
    <row r="105" spans="1:10" x14ac:dyDescent="0.25">
      <c r="A105" s="47" t="s">
        <v>153</v>
      </c>
      <c r="B105" s="47"/>
      <c r="C105" s="36" t="s">
        <v>62</v>
      </c>
      <c r="D105" s="45" t="s">
        <v>138</v>
      </c>
      <c r="E105" s="5" t="s">
        <v>26</v>
      </c>
      <c r="F105" s="75">
        <v>0</v>
      </c>
      <c r="G105" s="30">
        <f t="shared" si="13"/>
        <v>0</v>
      </c>
      <c r="H105" s="82">
        <f t="shared" si="14"/>
        <v>0.64687500000000009</v>
      </c>
      <c r="I105" s="82">
        <f t="shared" si="15"/>
        <v>1.5093749999999999</v>
      </c>
      <c r="J105" s="30" t="str">
        <f t="shared" si="16"/>
        <v>MEJORA</v>
      </c>
    </row>
    <row r="106" spans="1:10" x14ac:dyDescent="0.25">
      <c r="A106" s="47" t="s">
        <v>153</v>
      </c>
      <c r="B106" s="47"/>
      <c r="C106" s="36" t="s">
        <v>62</v>
      </c>
      <c r="D106" s="45" t="s">
        <v>138</v>
      </c>
      <c r="E106" s="5" t="s">
        <v>27</v>
      </c>
      <c r="F106" s="75">
        <v>0</v>
      </c>
      <c r="G106" s="30">
        <f t="shared" si="13"/>
        <v>0</v>
      </c>
      <c r="H106" s="82">
        <f t="shared" si="14"/>
        <v>0</v>
      </c>
      <c r="I106" s="82">
        <f t="shared" si="15"/>
        <v>0</v>
      </c>
      <c r="J106" s="30" t="str">
        <f t="shared" si="16"/>
        <v>MEJORA</v>
      </c>
    </row>
    <row r="107" spans="1:10" x14ac:dyDescent="0.25">
      <c r="A107" s="47" t="s">
        <v>153</v>
      </c>
      <c r="B107" s="47"/>
      <c r="C107" s="36" t="s">
        <v>62</v>
      </c>
      <c r="D107" s="45" t="s">
        <v>138</v>
      </c>
      <c r="E107" s="5" t="s">
        <v>28</v>
      </c>
      <c r="F107" s="75">
        <v>0</v>
      </c>
      <c r="G107" s="30">
        <f t="shared" si="13"/>
        <v>0</v>
      </c>
      <c r="H107" s="82">
        <f t="shared" si="14"/>
        <v>1.9406250000000003</v>
      </c>
      <c r="I107" s="82">
        <f t="shared" si="15"/>
        <v>4.5281250000000011</v>
      </c>
      <c r="J107" s="30" t="str">
        <f t="shared" si="16"/>
        <v>MEJORA</v>
      </c>
    </row>
    <row r="108" spans="1:10" x14ac:dyDescent="0.25">
      <c r="A108" s="47" t="s">
        <v>153</v>
      </c>
      <c r="B108" s="47"/>
      <c r="C108" s="36" t="s">
        <v>62</v>
      </c>
      <c r="D108" s="45" t="s">
        <v>138</v>
      </c>
      <c r="E108" s="5" t="s">
        <v>119</v>
      </c>
      <c r="F108" s="75">
        <v>0</v>
      </c>
      <c r="G108" s="30">
        <f t="shared" si="13"/>
        <v>0</v>
      </c>
      <c r="H108" s="82">
        <f t="shared" si="14"/>
        <v>1.9406250000000003</v>
      </c>
      <c r="I108" s="82">
        <f t="shared" si="15"/>
        <v>4.5281250000000011</v>
      </c>
      <c r="J108" s="30" t="str">
        <f t="shared" si="16"/>
        <v>MEJORA</v>
      </c>
    </row>
    <row r="109" spans="1:10" x14ac:dyDescent="0.25">
      <c r="A109" s="47" t="s">
        <v>153</v>
      </c>
      <c r="B109" s="47"/>
      <c r="C109" s="36" t="s">
        <v>62</v>
      </c>
      <c r="D109" s="45" t="s">
        <v>138</v>
      </c>
      <c r="E109" s="5" t="s">
        <v>120</v>
      </c>
      <c r="F109" s="75">
        <v>0</v>
      </c>
      <c r="G109" s="30">
        <f t="shared" si="13"/>
        <v>0</v>
      </c>
      <c r="H109" s="82">
        <f t="shared" si="14"/>
        <v>0</v>
      </c>
      <c r="I109" s="82">
        <f t="shared" si="15"/>
        <v>0</v>
      </c>
      <c r="J109" s="30" t="str">
        <f t="shared" si="16"/>
        <v>MEJORA</v>
      </c>
    </row>
    <row r="110" spans="1:10" x14ac:dyDescent="0.25">
      <c r="A110" s="47" t="s">
        <v>153</v>
      </c>
      <c r="B110" s="47"/>
      <c r="C110" s="36" t="s">
        <v>62</v>
      </c>
      <c r="D110" s="45" t="s">
        <v>138</v>
      </c>
      <c r="E110" s="5" t="s">
        <v>121</v>
      </c>
      <c r="F110" s="75">
        <v>0</v>
      </c>
      <c r="G110" s="30">
        <f t="shared" si="13"/>
        <v>0</v>
      </c>
      <c r="H110" s="82">
        <f t="shared" si="14"/>
        <v>0</v>
      </c>
      <c r="I110" s="82">
        <f t="shared" si="15"/>
        <v>0</v>
      </c>
      <c r="J110" s="30" t="str">
        <f t="shared" si="16"/>
        <v>MEJORA</v>
      </c>
    </row>
    <row r="111" spans="1:10" x14ac:dyDescent="0.25">
      <c r="A111" s="47" t="s">
        <v>153</v>
      </c>
      <c r="B111" s="47"/>
      <c r="C111" s="36" t="s">
        <v>62</v>
      </c>
      <c r="D111" s="45" t="s">
        <v>138</v>
      </c>
      <c r="E111" s="5" t="s">
        <v>122</v>
      </c>
      <c r="F111" s="75">
        <v>0</v>
      </c>
      <c r="G111" s="30">
        <f t="shared" si="13"/>
        <v>0</v>
      </c>
      <c r="H111" s="82">
        <f t="shared" si="14"/>
        <v>0</v>
      </c>
      <c r="I111" s="82">
        <f t="shared" si="15"/>
        <v>0</v>
      </c>
      <c r="J111" s="30" t="str">
        <f t="shared" si="16"/>
        <v>MEJORA</v>
      </c>
    </row>
    <row r="112" spans="1:10" x14ac:dyDescent="0.25">
      <c r="A112" s="47" t="s">
        <v>153</v>
      </c>
      <c r="B112" s="47"/>
      <c r="C112" s="48" t="s">
        <v>150</v>
      </c>
      <c r="D112" s="46" t="s">
        <v>138</v>
      </c>
      <c r="E112" s="10" t="s">
        <v>123</v>
      </c>
      <c r="F112" s="75">
        <v>0</v>
      </c>
      <c r="G112" s="30">
        <f t="shared" si="13"/>
        <v>0</v>
      </c>
      <c r="H112" s="82">
        <f t="shared" si="14"/>
        <v>2.5875000000000004</v>
      </c>
      <c r="I112" s="82">
        <f t="shared" si="15"/>
        <v>6.0374999999999996</v>
      </c>
      <c r="J112" s="30" t="str">
        <f t="shared" si="16"/>
        <v>MEJORA</v>
      </c>
    </row>
    <row r="113" spans="1:10" x14ac:dyDescent="0.25">
      <c r="A113" s="47" t="s">
        <v>153</v>
      </c>
      <c r="B113" s="47"/>
      <c r="C113" s="48" t="s">
        <v>150</v>
      </c>
      <c r="D113" s="46" t="s">
        <v>138</v>
      </c>
      <c r="E113" s="10" t="s">
        <v>124</v>
      </c>
      <c r="F113" s="75">
        <v>0</v>
      </c>
      <c r="G113" s="30">
        <f t="shared" si="13"/>
        <v>0</v>
      </c>
      <c r="H113" s="82">
        <f t="shared" si="14"/>
        <v>0.64687500000000009</v>
      </c>
      <c r="I113" s="82">
        <f t="shared" si="15"/>
        <v>1.5093749999999999</v>
      </c>
      <c r="J113" s="30" t="str">
        <f t="shared" si="16"/>
        <v>MEJORA</v>
      </c>
    </row>
    <row r="114" spans="1:10" x14ac:dyDescent="0.25">
      <c r="A114" s="47" t="s">
        <v>153</v>
      </c>
      <c r="B114" s="47"/>
      <c r="C114" s="48" t="s">
        <v>150</v>
      </c>
      <c r="D114" s="46" t="s">
        <v>138</v>
      </c>
      <c r="E114" s="10" t="s">
        <v>125</v>
      </c>
      <c r="F114" s="75">
        <v>0</v>
      </c>
      <c r="G114" s="30">
        <f t="shared" si="13"/>
        <v>0</v>
      </c>
      <c r="H114" s="82">
        <f t="shared" si="14"/>
        <v>0</v>
      </c>
      <c r="I114" s="82">
        <f t="shared" si="15"/>
        <v>0</v>
      </c>
      <c r="J114" s="30" t="str">
        <f t="shared" si="16"/>
        <v>MEJORA</v>
      </c>
    </row>
    <row r="115" spans="1:10" x14ac:dyDescent="0.25">
      <c r="A115" s="47" t="s">
        <v>153</v>
      </c>
      <c r="B115" s="47"/>
      <c r="C115" s="48" t="s">
        <v>150</v>
      </c>
      <c r="D115" s="46" t="s">
        <v>138</v>
      </c>
      <c r="E115" s="10" t="s">
        <v>126</v>
      </c>
      <c r="F115" s="75">
        <v>0</v>
      </c>
      <c r="G115" s="30">
        <f t="shared" si="13"/>
        <v>0</v>
      </c>
      <c r="H115" s="82">
        <f t="shared" si="14"/>
        <v>0</v>
      </c>
      <c r="I115" s="82">
        <f t="shared" si="15"/>
        <v>0</v>
      </c>
      <c r="J115" s="30" t="str">
        <f t="shared" si="16"/>
        <v>MEJORA</v>
      </c>
    </row>
    <row r="116" spans="1:10" x14ac:dyDescent="0.25">
      <c r="A116" s="47" t="s">
        <v>153</v>
      </c>
      <c r="B116" s="47"/>
      <c r="C116" s="48" t="s">
        <v>150</v>
      </c>
      <c r="D116" s="46" t="s">
        <v>138</v>
      </c>
      <c r="E116" s="10" t="s">
        <v>127</v>
      </c>
      <c r="F116" s="75">
        <v>0</v>
      </c>
      <c r="G116" s="30">
        <f t="shared" si="13"/>
        <v>0</v>
      </c>
      <c r="H116" s="82">
        <f t="shared" si="14"/>
        <v>0</v>
      </c>
      <c r="I116" s="82">
        <f t="shared" si="15"/>
        <v>0</v>
      </c>
      <c r="J116" s="30" t="str">
        <f t="shared" si="16"/>
        <v>MEJORA</v>
      </c>
    </row>
    <row r="117" spans="1:10" x14ac:dyDescent="0.25">
      <c r="A117" s="47" t="s">
        <v>153</v>
      </c>
      <c r="B117" s="47"/>
      <c r="C117" s="48" t="s">
        <v>150</v>
      </c>
      <c r="D117" s="46" t="s">
        <v>138</v>
      </c>
      <c r="E117" s="10" t="s">
        <v>30</v>
      </c>
      <c r="F117" s="75">
        <v>0</v>
      </c>
      <c r="G117" s="30">
        <f t="shared" si="13"/>
        <v>0</v>
      </c>
      <c r="H117" s="82">
        <f t="shared" si="14"/>
        <v>0</v>
      </c>
      <c r="I117" s="82">
        <f t="shared" si="15"/>
        <v>0</v>
      </c>
      <c r="J117" s="30" t="str">
        <f t="shared" si="16"/>
        <v>MEJORA</v>
      </c>
    </row>
    <row r="118" spans="1:10" x14ac:dyDescent="0.25">
      <c r="A118" s="47" t="s">
        <v>153</v>
      </c>
      <c r="B118" s="47"/>
      <c r="C118" s="36" t="s">
        <v>149</v>
      </c>
      <c r="D118" s="45" t="s">
        <v>138</v>
      </c>
      <c r="E118" s="5" t="s">
        <v>128</v>
      </c>
      <c r="F118" s="75">
        <v>0</v>
      </c>
      <c r="G118" s="30">
        <f t="shared" si="13"/>
        <v>0</v>
      </c>
      <c r="H118" s="82">
        <f t="shared" si="14"/>
        <v>0</v>
      </c>
      <c r="I118" s="82">
        <f t="shared" si="15"/>
        <v>0</v>
      </c>
      <c r="J118" s="30" t="str">
        <f t="shared" si="16"/>
        <v>MEJORA</v>
      </c>
    </row>
    <row r="119" spans="1:10" x14ac:dyDescent="0.25">
      <c r="A119" s="47" t="s">
        <v>153</v>
      </c>
      <c r="B119" s="47"/>
      <c r="C119" s="36" t="s">
        <v>149</v>
      </c>
      <c r="D119" s="45" t="s">
        <v>138</v>
      </c>
      <c r="E119" s="5" t="s">
        <v>129</v>
      </c>
      <c r="F119" s="75">
        <v>0</v>
      </c>
      <c r="G119" s="30">
        <f t="shared" si="13"/>
        <v>0</v>
      </c>
      <c r="H119" s="82">
        <f t="shared" si="14"/>
        <v>0</v>
      </c>
      <c r="I119" s="82">
        <f t="shared" si="15"/>
        <v>0</v>
      </c>
      <c r="J119" s="30" t="str">
        <f t="shared" si="16"/>
        <v>MEJORA</v>
      </c>
    </row>
    <row r="120" spans="1:10" x14ac:dyDescent="0.25">
      <c r="A120" s="47" t="s">
        <v>153</v>
      </c>
      <c r="B120" s="47"/>
      <c r="C120" s="36" t="s">
        <v>149</v>
      </c>
      <c r="D120" s="45" t="s">
        <v>138</v>
      </c>
      <c r="E120" s="5" t="s">
        <v>31</v>
      </c>
      <c r="F120" s="75">
        <v>0</v>
      </c>
      <c r="G120" s="30">
        <f t="shared" si="13"/>
        <v>0</v>
      </c>
      <c r="H120" s="82">
        <f t="shared" si="14"/>
        <v>0.64687500000000009</v>
      </c>
      <c r="I120" s="82">
        <f t="shared" si="15"/>
        <v>1.5093749999999999</v>
      </c>
      <c r="J120" s="30" t="str">
        <f t="shared" si="16"/>
        <v>MEJORA</v>
      </c>
    </row>
    <row r="121" spans="1:10" s="6" customFormat="1" x14ac:dyDescent="0.25">
      <c r="A121" s="39" t="s">
        <v>153</v>
      </c>
      <c r="B121" s="41"/>
      <c r="C121" s="39" t="s">
        <v>45</v>
      </c>
      <c r="D121" s="39" t="s">
        <v>182</v>
      </c>
      <c r="E121" s="39" t="s">
        <v>45</v>
      </c>
      <c r="F121" s="79">
        <f>SUM(F92:F120)</f>
        <v>0</v>
      </c>
      <c r="G121" s="44">
        <f>SUM(G92:G120)</f>
        <v>0</v>
      </c>
      <c r="H121" s="83">
        <f>SUM(H92:H120)</f>
        <v>46.575000000000003</v>
      </c>
      <c r="I121" s="83">
        <f t="shared" si="15"/>
        <v>108.67499999999995</v>
      </c>
      <c r="J121" s="30" t="str">
        <f t="shared" si="16"/>
        <v>MEJORA</v>
      </c>
    </row>
    <row r="122" spans="1:10" x14ac:dyDescent="0.25">
      <c r="A122" s="47" t="s">
        <v>153</v>
      </c>
      <c r="B122" s="47"/>
      <c r="C122" s="35" t="s">
        <v>148</v>
      </c>
      <c r="D122" s="38" t="s">
        <v>139</v>
      </c>
      <c r="E122" s="9" t="s">
        <v>108</v>
      </c>
      <c r="F122" s="75" cm="1">
        <f t="array" ref="F122:F150">TRANSPOSE(DIAGNÓSTICO!P96:AR96)</f>
        <v>0</v>
      </c>
      <c r="G122" s="30">
        <f t="shared" ref="G122:G150" si="17">IFERROR((F122/$F$151),0)</f>
        <v>0</v>
      </c>
      <c r="H122" s="82">
        <f>H32</f>
        <v>1.9406250000000003</v>
      </c>
      <c r="I122" s="82">
        <f>((F2)-(H32+H62+H92+H122))</f>
        <v>2.5875000000000004</v>
      </c>
      <c r="J122" s="30" t="str">
        <f t="shared" ref="J122:J151" si="18">IF(F122&lt;=I122,$M$1,IF(F122=F92,$L$1,IF(F122&gt;F92,$N$1,0)))</f>
        <v>MEJORA</v>
      </c>
    </row>
    <row r="123" spans="1:10" x14ac:dyDescent="0.25">
      <c r="A123" s="47" t="s">
        <v>153</v>
      </c>
      <c r="B123" s="47"/>
      <c r="C123" s="35" t="s">
        <v>148</v>
      </c>
      <c r="D123" s="38" t="s">
        <v>139</v>
      </c>
      <c r="E123" s="9" t="s">
        <v>109</v>
      </c>
      <c r="F123" s="75">
        <v>0</v>
      </c>
      <c r="G123" s="30">
        <f t="shared" si="17"/>
        <v>0</v>
      </c>
      <c r="H123" s="82">
        <f t="shared" ref="H123:H150" si="19">H33</f>
        <v>4.5281250000000002</v>
      </c>
      <c r="I123" s="82">
        <f t="shared" ref="I123:I151" si="20">((F3)-(H33+H63+H93+H123))</f>
        <v>6.0375000000000014</v>
      </c>
      <c r="J123" s="30" t="str">
        <f t="shared" si="18"/>
        <v>MEJORA</v>
      </c>
    </row>
    <row r="124" spans="1:10" x14ac:dyDescent="0.25">
      <c r="A124" s="47" t="s">
        <v>153</v>
      </c>
      <c r="B124" s="47"/>
      <c r="C124" s="35" t="s">
        <v>148</v>
      </c>
      <c r="D124" s="38" t="s">
        <v>139</v>
      </c>
      <c r="E124" s="9" t="s">
        <v>110</v>
      </c>
      <c r="F124" s="75">
        <v>0</v>
      </c>
      <c r="G124" s="30">
        <f t="shared" si="17"/>
        <v>0</v>
      </c>
      <c r="H124" s="82">
        <f t="shared" si="19"/>
        <v>2.5875000000000004</v>
      </c>
      <c r="I124" s="82">
        <f t="shared" si="20"/>
        <v>3.4499999999999993</v>
      </c>
      <c r="J124" s="30" t="str">
        <f t="shared" si="18"/>
        <v>MEJORA</v>
      </c>
    </row>
    <row r="125" spans="1:10" x14ac:dyDescent="0.25">
      <c r="A125" s="47" t="s">
        <v>153</v>
      </c>
      <c r="B125" s="47"/>
      <c r="C125" s="35" t="s">
        <v>148</v>
      </c>
      <c r="D125" s="38" t="s">
        <v>139</v>
      </c>
      <c r="E125" s="9" t="s">
        <v>111</v>
      </c>
      <c r="F125" s="75">
        <v>0</v>
      </c>
      <c r="G125" s="30">
        <f t="shared" si="17"/>
        <v>0</v>
      </c>
      <c r="H125" s="82">
        <f t="shared" si="19"/>
        <v>2.5875000000000004</v>
      </c>
      <c r="I125" s="82">
        <f t="shared" si="20"/>
        <v>3.4499999999999993</v>
      </c>
      <c r="J125" s="30" t="str">
        <f t="shared" si="18"/>
        <v>MEJORA</v>
      </c>
    </row>
    <row r="126" spans="1:10" x14ac:dyDescent="0.25">
      <c r="A126" s="47" t="s">
        <v>153</v>
      </c>
      <c r="B126" s="47"/>
      <c r="C126" s="35" t="s">
        <v>148</v>
      </c>
      <c r="D126" s="38" t="s">
        <v>139</v>
      </c>
      <c r="E126" s="9" t="s">
        <v>112</v>
      </c>
      <c r="F126" s="75">
        <v>0</v>
      </c>
      <c r="G126" s="30">
        <f t="shared" si="17"/>
        <v>0</v>
      </c>
      <c r="H126" s="82">
        <f t="shared" si="19"/>
        <v>5.1750000000000007</v>
      </c>
      <c r="I126" s="82">
        <f t="shared" si="20"/>
        <v>6.8999999999999986</v>
      </c>
      <c r="J126" s="30" t="str">
        <f t="shared" si="18"/>
        <v>MEJORA</v>
      </c>
    </row>
    <row r="127" spans="1:10" x14ac:dyDescent="0.25">
      <c r="A127" s="47" t="s">
        <v>153</v>
      </c>
      <c r="B127" s="47"/>
      <c r="C127" s="35" t="s">
        <v>148</v>
      </c>
      <c r="D127" s="38" t="s">
        <v>139</v>
      </c>
      <c r="E127" s="9" t="s">
        <v>113</v>
      </c>
      <c r="F127" s="75">
        <v>0</v>
      </c>
      <c r="G127" s="30">
        <f t="shared" si="17"/>
        <v>0</v>
      </c>
      <c r="H127" s="82">
        <f t="shared" si="19"/>
        <v>5.8218750000000004</v>
      </c>
      <c r="I127" s="82">
        <f t="shared" si="20"/>
        <v>7.7625000000000028</v>
      </c>
      <c r="J127" s="30" t="str">
        <f t="shared" si="18"/>
        <v>MEJORA</v>
      </c>
    </row>
    <row r="128" spans="1:10" x14ac:dyDescent="0.25">
      <c r="A128" s="47" t="s">
        <v>153</v>
      </c>
      <c r="B128" s="47"/>
      <c r="C128" s="35" t="s">
        <v>148</v>
      </c>
      <c r="D128" s="38" t="s">
        <v>139</v>
      </c>
      <c r="E128" s="9" t="s">
        <v>114</v>
      </c>
      <c r="F128" s="75">
        <v>0</v>
      </c>
      <c r="G128" s="30">
        <f t="shared" si="17"/>
        <v>0</v>
      </c>
      <c r="H128" s="82">
        <f t="shared" si="19"/>
        <v>6.46875</v>
      </c>
      <c r="I128" s="82">
        <f t="shared" si="20"/>
        <v>8.625</v>
      </c>
      <c r="J128" s="30" t="str">
        <f t="shared" si="18"/>
        <v>MEJORA</v>
      </c>
    </row>
    <row r="129" spans="1:10" x14ac:dyDescent="0.25">
      <c r="A129" s="47" t="s">
        <v>153</v>
      </c>
      <c r="B129" s="47"/>
      <c r="C129" s="35" t="s">
        <v>148</v>
      </c>
      <c r="D129" s="38" t="s">
        <v>139</v>
      </c>
      <c r="E129" s="9" t="s">
        <v>115</v>
      </c>
      <c r="F129" s="75">
        <v>0</v>
      </c>
      <c r="G129" s="30">
        <f t="shared" si="17"/>
        <v>0</v>
      </c>
      <c r="H129" s="82">
        <f t="shared" si="19"/>
        <v>3.234375</v>
      </c>
      <c r="I129" s="82">
        <f t="shared" si="20"/>
        <v>4.3125</v>
      </c>
      <c r="J129" s="30" t="str">
        <f t="shared" si="18"/>
        <v>MEJORA</v>
      </c>
    </row>
    <row r="130" spans="1:10" x14ac:dyDescent="0.25">
      <c r="A130" s="47" t="s">
        <v>153</v>
      </c>
      <c r="B130" s="47"/>
      <c r="C130" s="35" t="s">
        <v>148</v>
      </c>
      <c r="D130" s="38" t="s">
        <v>139</v>
      </c>
      <c r="E130" s="9" t="s">
        <v>116</v>
      </c>
      <c r="F130" s="75">
        <v>0</v>
      </c>
      <c r="G130" s="30">
        <f t="shared" si="17"/>
        <v>0</v>
      </c>
      <c r="H130" s="82">
        <f t="shared" si="19"/>
        <v>1.2937500000000002</v>
      </c>
      <c r="I130" s="82">
        <f t="shared" si="20"/>
        <v>1.7249999999999996</v>
      </c>
      <c r="J130" s="30" t="str">
        <f t="shared" si="18"/>
        <v>MEJORA</v>
      </c>
    </row>
    <row r="131" spans="1:10" x14ac:dyDescent="0.25">
      <c r="A131" s="47" t="s">
        <v>153</v>
      </c>
      <c r="B131" s="47"/>
      <c r="C131" s="35" t="s">
        <v>148</v>
      </c>
      <c r="D131" s="38" t="s">
        <v>139</v>
      </c>
      <c r="E131" s="9" t="s">
        <v>117</v>
      </c>
      <c r="F131" s="75">
        <v>0</v>
      </c>
      <c r="G131" s="30">
        <f t="shared" si="17"/>
        <v>0</v>
      </c>
      <c r="H131" s="82">
        <f t="shared" si="19"/>
        <v>2.5875000000000004</v>
      </c>
      <c r="I131" s="82">
        <f t="shared" si="20"/>
        <v>3.4499999999999993</v>
      </c>
      <c r="J131" s="30" t="str">
        <f t="shared" si="18"/>
        <v>MEJORA</v>
      </c>
    </row>
    <row r="132" spans="1:10" x14ac:dyDescent="0.25">
      <c r="A132" s="47" t="s">
        <v>153</v>
      </c>
      <c r="B132" s="47"/>
      <c r="C132" s="36" t="s">
        <v>62</v>
      </c>
      <c r="D132" s="45" t="s">
        <v>139</v>
      </c>
      <c r="E132" s="5" t="s">
        <v>118</v>
      </c>
      <c r="F132" s="75">
        <v>0</v>
      </c>
      <c r="G132" s="30">
        <f t="shared" si="17"/>
        <v>0</v>
      </c>
      <c r="H132" s="82">
        <f t="shared" si="19"/>
        <v>1.2937500000000002</v>
      </c>
      <c r="I132" s="82">
        <f t="shared" si="20"/>
        <v>1.7249999999999996</v>
      </c>
      <c r="J132" s="30" t="str">
        <f t="shared" si="18"/>
        <v>MEJORA</v>
      </c>
    </row>
    <row r="133" spans="1:10" x14ac:dyDescent="0.25">
      <c r="A133" s="47" t="s">
        <v>153</v>
      </c>
      <c r="B133" s="47"/>
      <c r="C133" s="36" t="s">
        <v>62</v>
      </c>
      <c r="D133" s="45" t="s">
        <v>139</v>
      </c>
      <c r="E133" s="5" t="s">
        <v>24</v>
      </c>
      <c r="F133" s="75">
        <v>0</v>
      </c>
      <c r="G133" s="30">
        <f t="shared" si="17"/>
        <v>0</v>
      </c>
      <c r="H133" s="82">
        <f t="shared" si="19"/>
        <v>0.64687500000000009</v>
      </c>
      <c r="I133" s="82">
        <f t="shared" si="20"/>
        <v>0.86249999999999982</v>
      </c>
      <c r="J133" s="30" t="str">
        <f t="shared" si="18"/>
        <v>MEJORA</v>
      </c>
    </row>
    <row r="134" spans="1:10" x14ac:dyDescent="0.25">
      <c r="A134" s="47" t="s">
        <v>153</v>
      </c>
      <c r="B134" s="47"/>
      <c r="C134" s="36" t="s">
        <v>62</v>
      </c>
      <c r="D134" s="45" t="s">
        <v>139</v>
      </c>
      <c r="E134" s="5" t="s">
        <v>25</v>
      </c>
      <c r="F134" s="75">
        <v>0</v>
      </c>
      <c r="G134" s="30">
        <f t="shared" si="17"/>
        <v>0</v>
      </c>
      <c r="H134" s="82">
        <f t="shared" si="19"/>
        <v>0</v>
      </c>
      <c r="I134" s="82">
        <f t="shared" si="20"/>
        <v>0</v>
      </c>
      <c r="J134" s="30" t="str">
        <f t="shared" si="18"/>
        <v>MEJORA</v>
      </c>
    </row>
    <row r="135" spans="1:10" x14ac:dyDescent="0.25">
      <c r="A135" s="47" t="s">
        <v>153</v>
      </c>
      <c r="B135" s="47"/>
      <c r="C135" s="36" t="s">
        <v>62</v>
      </c>
      <c r="D135" s="45" t="s">
        <v>139</v>
      </c>
      <c r="E135" s="5" t="s">
        <v>26</v>
      </c>
      <c r="F135" s="75">
        <v>0</v>
      </c>
      <c r="G135" s="30">
        <f t="shared" si="17"/>
        <v>0</v>
      </c>
      <c r="H135" s="82">
        <f t="shared" si="19"/>
        <v>0.64687500000000009</v>
      </c>
      <c r="I135" s="82">
        <f t="shared" si="20"/>
        <v>0.86249999999999982</v>
      </c>
      <c r="J135" s="30" t="str">
        <f t="shared" si="18"/>
        <v>MEJORA</v>
      </c>
    </row>
    <row r="136" spans="1:10" x14ac:dyDescent="0.25">
      <c r="A136" s="47" t="s">
        <v>153</v>
      </c>
      <c r="B136" s="47"/>
      <c r="C136" s="36" t="s">
        <v>62</v>
      </c>
      <c r="D136" s="45" t="s">
        <v>139</v>
      </c>
      <c r="E136" s="5" t="s">
        <v>27</v>
      </c>
      <c r="F136" s="75">
        <v>0</v>
      </c>
      <c r="G136" s="30">
        <f t="shared" si="17"/>
        <v>0</v>
      </c>
      <c r="H136" s="82">
        <f t="shared" si="19"/>
        <v>0</v>
      </c>
      <c r="I136" s="82">
        <f t="shared" si="20"/>
        <v>0</v>
      </c>
      <c r="J136" s="30" t="str">
        <f t="shared" si="18"/>
        <v>MEJORA</v>
      </c>
    </row>
    <row r="137" spans="1:10" x14ac:dyDescent="0.25">
      <c r="A137" s="47" t="s">
        <v>153</v>
      </c>
      <c r="B137" s="47"/>
      <c r="C137" s="36" t="s">
        <v>62</v>
      </c>
      <c r="D137" s="45" t="s">
        <v>139</v>
      </c>
      <c r="E137" s="5" t="s">
        <v>28</v>
      </c>
      <c r="F137" s="75">
        <v>0</v>
      </c>
      <c r="G137" s="30">
        <f t="shared" si="17"/>
        <v>0</v>
      </c>
      <c r="H137" s="82">
        <f t="shared" si="19"/>
        <v>1.9406250000000003</v>
      </c>
      <c r="I137" s="82">
        <f t="shared" si="20"/>
        <v>2.5875000000000004</v>
      </c>
      <c r="J137" s="30" t="str">
        <f t="shared" si="18"/>
        <v>MEJORA</v>
      </c>
    </row>
    <row r="138" spans="1:10" x14ac:dyDescent="0.25">
      <c r="A138" s="47" t="s">
        <v>153</v>
      </c>
      <c r="B138" s="47"/>
      <c r="C138" s="36" t="s">
        <v>62</v>
      </c>
      <c r="D138" s="45" t="s">
        <v>139</v>
      </c>
      <c r="E138" s="5" t="s">
        <v>119</v>
      </c>
      <c r="F138" s="75">
        <v>0</v>
      </c>
      <c r="G138" s="30">
        <f t="shared" si="17"/>
        <v>0</v>
      </c>
      <c r="H138" s="82">
        <f t="shared" si="19"/>
        <v>1.9406250000000003</v>
      </c>
      <c r="I138" s="82">
        <f t="shared" si="20"/>
        <v>2.5875000000000004</v>
      </c>
      <c r="J138" s="30" t="str">
        <f t="shared" si="18"/>
        <v>MEJORA</v>
      </c>
    </row>
    <row r="139" spans="1:10" x14ac:dyDescent="0.25">
      <c r="A139" s="47" t="s">
        <v>153</v>
      </c>
      <c r="B139" s="47"/>
      <c r="C139" s="36" t="s">
        <v>62</v>
      </c>
      <c r="D139" s="45" t="s">
        <v>139</v>
      </c>
      <c r="E139" s="5" t="s">
        <v>120</v>
      </c>
      <c r="F139" s="75">
        <v>0</v>
      </c>
      <c r="G139" s="30">
        <f t="shared" si="17"/>
        <v>0</v>
      </c>
      <c r="H139" s="82">
        <f t="shared" si="19"/>
        <v>0</v>
      </c>
      <c r="I139" s="82">
        <f t="shared" si="20"/>
        <v>0</v>
      </c>
      <c r="J139" s="30" t="str">
        <f t="shared" si="18"/>
        <v>MEJORA</v>
      </c>
    </row>
    <row r="140" spans="1:10" x14ac:dyDescent="0.25">
      <c r="A140" s="47" t="s">
        <v>153</v>
      </c>
      <c r="B140" s="47"/>
      <c r="C140" s="36" t="s">
        <v>62</v>
      </c>
      <c r="D140" s="45" t="s">
        <v>139</v>
      </c>
      <c r="E140" s="5" t="s">
        <v>121</v>
      </c>
      <c r="F140" s="75">
        <v>0</v>
      </c>
      <c r="G140" s="30">
        <f t="shared" si="17"/>
        <v>0</v>
      </c>
      <c r="H140" s="82">
        <f t="shared" si="19"/>
        <v>0</v>
      </c>
      <c r="I140" s="82">
        <f t="shared" si="20"/>
        <v>0</v>
      </c>
      <c r="J140" s="30" t="str">
        <f t="shared" si="18"/>
        <v>MEJORA</v>
      </c>
    </row>
    <row r="141" spans="1:10" x14ac:dyDescent="0.25">
      <c r="A141" s="47" t="s">
        <v>153</v>
      </c>
      <c r="B141" s="47"/>
      <c r="C141" s="36" t="s">
        <v>62</v>
      </c>
      <c r="D141" s="45" t="s">
        <v>139</v>
      </c>
      <c r="E141" s="5" t="s">
        <v>122</v>
      </c>
      <c r="F141" s="75">
        <v>0</v>
      </c>
      <c r="G141" s="30">
        <f t="shared" si="17"/>
        <v>0</v>
      </c>
      <c r="H141" s="82">
        <f t="shared" si="19"/>
        <v>0</v>
      </c>
      <c r="I141" s="82">
        <f t="shared" si="20"/>
        <v>0</v>
      </c>
      <c r="J141" s="30" t="str">
        <f t="shared" si="18"/>
        <v>MEJORA</v>
      </c>
    </row>
    <row r="142" spans="1:10" x14ac:dyDescent="0.25">
      <c r="A142" s="47" t="s">
        <v>153</v>
      </c>
      <c r="B142" s="47"/>
      <c r="C142" s="48" t="s">
        <v>150</v>
      </c>
      <c r="D142" s="46" t="s">
        <v>139</v>
      </c>
      <c r="E142" s="10" t="s">
        <v>123</v>
      </c>
      <c r="F142" s="75">
        <v>0</v>
      </c>
      <c r="G142" s="30">
        <f t="shared" si="17"/>
        <v>0</v>
      </c>
      <c r="H142" s="82">
        <f t="shared" si="19"/>
        <v>2.5875000000000004</v>
      </c>
      <c r="I142" s="82">
        <f t="shared" si="20"/>
        <v>3.4499999999999993</v>
      </c>
      <c r="J142" s="30" t="str">
        <f t="shared" si="18"/>
        <v>MEJORA</v>
      </c>
    </row>
    <row r="143" spans="1:10" x14ac:dyDescent="0.25">
      <c r="A143" s="47" t="s">
        <v>153</v>
      </c>
      <c r="B143" s="47"/>
      <c r="C143" s="48" t="s">
        <v>150</v>
      </c>
      <c r="D143" s="46" t="s">
        <v>139</v>
      </c>
      <c r="E143" s="10" t="s">
        <v>124</v>
      </c>
      <c r="F143" s="75">
        <v>0</v>
      </c>
      <c r="G143" s="30">
        <f t="shared" si="17"/>
        <v>0</v>
      </c>
      <c r="H143" s="82">
        <f t="shared" si="19"/>
        <v>0.64687500000000009</v>
      </c>
      <c r="I143" s="82">
        <f t="shared" si="20"/>
        <v>0.86249999999999982</v>
      </c>
      <c r="J143" s="30" t="str">
        <f t="shared" si="18"/>
        <v>MEJORA</v>
      </c>
    </row>
    <row r="144" spans="1:10" x14ac:dyDescent="0.25">
      <c r="A144" s="47" t="s">
        <v>153</v>
      </c>
      <c r="B144" s="47"/>
      <c r="C144" s="48" t="s">
        <v>150</v>
      </c>
      <c r="D144" s="46" t="s">
        <v>139</v>
      </c>
      <c r="E144" s="10" t="s">
        <v>125</v>
      </c>
      <c r="F144" s="75">
        <v>0</v>
      </c>
      <c r="G144" s="30">
        <f t="shared" si="17"/>
        <v>0</v>
      </c>
      <c r="H144" s="82">
        <f t="shared" si="19"/>
        <v>0</v>
      </c>
      <c r="I144" s="82">
        <f t="shared" si="20"/>
        <v>0</v>
      </c>
      <c r="J144" s="30" t="str">
        <f t="shared" si="18"/>
        <v>MEJORA</v>
      </c>
    </row>
    <row r="145" spans="1:10" x14ac:dyDescent="0.25">
      <c r="A145" s="47" t="s">
        <v>153</v>
      </c>
      <c r="B145" s="47"/>
      <c r="C145" s="48" t="s">
        <v>150</v>
      </c>
      <c r="D145" s="46" t="s">
        <v>139</v>
      </c>
      <c r="E145" s="10" t="s">
        <v>126</v>
      </c>
      <c r="F145" s="75">
        <v>0</v>
      </c>
      <c r="G145" s="30">
        <f t="shared" si="17"/>
        <v>0</v>
      </c>
      <c r="H145" s="82">
        <f t="shared" si="19"/>
        <v>0</v>
      </c>
      <c r="I145" s="82">
        <f t="shared" si="20"/>
        <v>0</v>
      </c>
      <c r="J145" s="30" t="str">
        <f t="shared" si="18"/>
        <v>MEJORA</v>
      </c>
    </row>
    <row r="146" spans="1:10" x14ac:dyDescent="0.25">
      <c r="A146" s="47" t="s">
        <v>153</v>
      </c>
      <c r="B146" s="47"/>
      <c r="C146" s="48" t="s">
        <v>150</v>
      </c>
      <c r="D146" s="46" t="s">
        <v>139</v>
      </c>
      <c r="E146" s="10" t="s">
        <v>127</v>
      </c>
      <c r="F146" s="75">
        <v>0</v>
      </c>
      <c r="G146" s="30">
        <f t="shared" si="17"/>
        <v>0</v>
      </c>
      <c r="H146" s="82">
        <f t="shared" si="19"/>
        <v>0</v>
      </c>
      <c r="I146" s="82">
        <f t="shared" si="20"/>
        <v>0</v>
      </c>
      <c r="J146" s="30" t="str">
        <f t="shared" si="18"/>
        <v>MEJORA</v>
      </c>
    </row>
    <row r="147" spans="1:10" x14ac:dyDescent="0.25">
      <c r="A147" s="47" t="s">
        <v>153</v>
      </c>
      <c r="B147" s="47"/>
      <c r="C147" s="48" t="s">
        <v>150</v>
      </c>
      <c r="D147" s="46" t="s">
        <v>139</v>
      </c>
      <c r="E147" s="10" t="s">
        <v>30</v>
      </c>
      <c r="F147" s="75">
        <v>0</v>
      </c>
      <c r="G147" s="30">
        <f t="shared" si="17"/>
        <v>0</v>
      </c>
      <c r="H147" s="82">
        <f t="shared" si="19"/>
        <v>0</v>
      </c>
      <c r="I147" s="82">
        <f t="shared" si="20"/>
        <v>0</v>
      </c>
      <c r="J147" s="30" t="str">
        <f t="shared" si="18"/>
        <v>MEJORA</v>
      </c>
    </row>
    <row r="148" spans="1:10" x14ac:dyDescent="0.25">
      <c r="A148" s="47" t="s">
        <v>153</v>
      </c>
      <c r="B148" s="47"/>
      <c r="C148" s="36" t="s">
        <v>149</v>
      </c>
      <c r="D148" s="45" t="s">
        <v>139</v>
      </c>
      <c r="E148" s="5" t="s">
        <v>128</v>
      </c>
      <c r="F148" s="75">
        <v>0</v>
      </c>
      <c r="G148" s="30">
        <f t="shared" si="17"/>
        <v>0</v>
      </c>
      <c r="H148" s="82">
        <f t="shared" si="19"/>
        <v>0</v>
      </c>
      <c r="I148" s="82">
        <f t="shared" si="20"/>
        <v>0</v>
      </c>
      <c r="J148" s="30" t="str">
        <f t="shared" si="18"/>
        <v>MEJORA</v>
      </c>
    </row>
    <row r="149" spans="1:10" x14ac:dyDescent="0.25">
      <c r="A149" s="47" t="s">
        <v>153</v>
      </c>
      <c r="B149" s="47"/>
      <c r="C149" s="36" t="s">
        <v>149</v>
      </c>
      <c r="D149" s="45" t="s">
        <v>139</v>
      </c>
      <c r="E149" s="5" t="s">
        <v>129</v>
      </c>
      <c r="F149" s="75">
        <v>0</v>
      </c>
      <c r="G149" s="30">
        <f t="shared" si="17"/>
        <v>0</v>
      </c>
      <c r="H149" s="82">
        <f t="shared" si="19"/>
        <v>0</v>
      </c>
      <c r="I149" s="82">
        <f t="shared" si="20"/>
        <v>0</v>
      </c>
      <c r="J149" s="30" t="str">
        <f t="shared" si="18"/>
        <v>MEJORA</v>
      </c>
    </row>
    <row r="150" spans="1:10" x14ac:dyDescent="0.25">
      <c r="A150" s="47" t="s">
        <v>153</v>
      </c>
      <c r="B150" s="47"/>
      <c r="C150" s="36" t="s">
        <v>149</v>
      </c>
      <c r="D150" s="45" t="s">
        <v>139</v>
      </c>
      <c r="E150" s="5" t="s">
        <v>31</v>
      </c>
      <c r="F150" s="75">
        <v>0</v>
      </c>
      <c r="G150" s="30">
        <f t="shared" si="17"/>
        <v>0</v>
      </c>
      <c r="H150" s="82">
        <f t="shared" si="19"/>
        <v>0.64687500000000009</v>
      </c>
      <c r="I150" s="82">
        <f t="shared" si="20"/>
        <v>0.86249999999999982</v>
      </c>
      <c r="J150" s="30" t="str">
        <f t="shared" si="18"/>
        <v>MEJORA</v>
      </c>
    </row>
    <row r="151" spans="1:10" s="6" customFormat="1" x14ac:dyDescent="0.25">
      <c r="A151" s="39" t="s">
        <v>153</v>
      </c>
      <c r="B151" s="41"/>
      <c r="C151" s="39" t="s">
        <v>45</v>
      </c>
      <c r="D151" s="39" t="s">
        <v>183</v>
      </c>
      <c r="E151" s="39" t="s">
        <v>45</v>
      </c>
      <c r="F151" s="79">
        <f>SUM(F122:F150)</f>
        <v>0</v>
      </c>
      <c r="G151" s="44">
        <f>SUM(G122:G150)</f>
        <v>0</v>
      </c>
      <c r="H151" s="83">
        <f>SUM(H122:H150)</f>
        <v>46.575000000000003</v>
      </c>
      <c r="I151" s="83">
        <f t="shared" si="20"/>
        <v>62.099999999999966</v>
      </c>
      <c r="J151" s="30" t="str">
        <f t="shared" si="18"/>
        <v>MEJORA</v>
      </c>
    </row>
  </sheetData>
  <autoFilter ref="A1:J1" xr:uid="{B14A7F52-D7FF-4829-A050-ACC5E306F658}"/>
  <phoneticPr fontId="5"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 operator="containsText" id="{5F135944-BAE4-422C-9D27-856FF64996BE}">
            <xm:f>NOT(ISERROR(SEARCH($N$1,J32)))</xm:f>
            <xm:f>$N$1</xm:f>
            <x14:dxf>
              <font>
                <color theme="0"/>
              </font>
              <fill>
                <patternFill>
                  <bgColor rgb="FFC00000"/>
                </patternFill>
              </fill>
            </x14:dxf>
          </x14:cfRule>
          <x14:cfRule type="containsText" priority="5" operator="containsText" id="{F4922E43-6B96-470C-BF47-1200C18F5181}">
            <xm:f>NOT(ISERROR(SEARCH($M$1,J32)))</xm:f>
            <xm:f>$M$1</xm:f>
            <x14:dxf>
              <font>
                <color theme="0"/>
              </font>
              <fill>
                <patternFill>
                  <bgColor theme="9" tint="-0.24994659260841701"/>
                </patternFill>
              </fill>
            </x14:dxf>
          </x14:cfRule>
          <x14:cfRule type="containsText" priority="6" operator="containsText" id="{E74B141A-6803-4E68-B4D8-FF4548DEFE30}">
            <xm:f>NOT(ISERROR(SEARCH($L$1,J32)))</xm:f>
            <xm:f>$L$1</xm:f>
            <x14:dxf>
              <fill>
                <patternFill>
                  <bgColor rgb="FFFFFF00"/>
                </patternFill>
              </fill>
            </x14:dxf>
          </x14:cfRule>
          <xm:sqref>J32:J151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1930-3189-4ED5-8340-CA418C2129D6}">
  <sheetPr codeName="Hoja4"/>
  <dimension ref="A1:B31"/>
  <sheetViews>
    <sheetView workbookViewId="0">
      <selection activeCell="E11" sqref="E11"/>
    </sheetView>
  </sheetViews>
  <sheetFormatPr baseColWidth="10" defaultRowHeight="15" x14ac:dyDescent="0.25"/>
  <cols>
    <col min="1" max="1" width="24.7109375" customWidth="1"/>
    <col min="2" max="2" width="35.140625" customWidth="1"/>
  </cols>
  <sheetData>
    <row r="1" spans="1:2" ht="15" customHeight="1" x14ac:dyDescent="0.25">
      <c r="A1" s="11" t="s">
        <v>146</v>
      </c>
      <c r="B1" s="11" t="s">
        <v>215</v>
      </c>
    </row>
    <row r="2" spans="1:2" ht="15" customHeight="1" x14ac:dyDescent="0.25">
      <c r="A2" s="35" t="s">
        <v>148</v>
      </c>
      <c r="B2" s="9" t="s">
        <v>133</v>
      </c>
    </row>
    <row r="3" spans="1:2" ht="15" customHeight="1" x14ac:dyDescent="0.25">
      <c r="A3" s="35" t="s">
        <v>148</v>
      </c>
      <c r="B3" s="9" t="s">
        <v>134</v>
      </c>
    </row>
    <row r="4" spans="1:2" ht="15" customHeight="1" x14ac:dyDescent="0.25">
      <c r="A4" s="35" t="s">
        <v>148</v>
      </c>
      <c r="B4" s="9" t="s">
        <v>216</v>
      </c>
    </row>
    <row r="5" spans="1:2" ht="15" customHeight="1" x14ac:dyDescent="0.25">
      <c r="A5" s="35" t="s">
        <v>148</v>
      </c>
      <c r="B5" s="9" t="s">
        <v>217</v>
      </c>
    </row>
    <row r="6" spans="1:2" ht="15" customHeight="1" x14ac:dyDescent="0.25">
      <c r="A6" s="35" t="s">
        <v>148</v>
      </c>
      <c r="B6" s="9" t="s">
        <v>218</v>
      </c>
    </row>
    <row r="7" spans="1:2" ht="15" customHeight="1" x14ac:dyDescent="0.25">
      <c r="A7" s="35" t="s">
        <v>148</v>
      </c>
      <c r="B7" s="9" t="s">
        <v>219</v>
      </c>
    </row>
    <row r="8" spans="1:2" ht="15" customHeight="1" x14ac:dyDescent="0.25">
      <c r="A8" s="35" t="s">
        <v>148</v>
      </c>
      <c r="B8" s="9" t="s">
        <v>220</v>
      </c>
    </row>
    <row r="9" spans="1:2" ht="15" customHeight="1" x14ac:dyDescent="0.25">
      <c r="A9" s="35" t="s">
        <v>148</v>
      </c>
      <c r="B9" s="9" t="s">
        <v>221</v>
      </c>
    </row>
    <row r="10" spans="1:2" ht="15" customHeight="1" x14ac:dyDescent="0.25">
      <c r="A10" s="35" t="s">
        <v>148</v>
      </c>
      <c r="B10" s="9" t="s">
        <v>222</v>
      </c>
    </row>
    <row r="11" spans="1:2" ht="15" customHeight="1" x14ac:dyDescent="0.25">
      <c r="A11" s="35" t="s">
        <v>148</v>
      </c>
      <c r="B11" s="9" t="s">
        <v>223</v>
      </c>
    </row>
    <row r="12" spans="1:2" ht="15" customHeight="1" x14ac:dyDescent="0.25">
      <c r="A12" s="36" t="s">
        <v>62</v>
      </c>
      <c r="B12" s="5" t="s">
        <v>224</v>
      </c>
    </row>
    <row r="13" spans="1:2" ht="15" customHeight="1" x14ac:dyDescent="0.25">
      <c r="A13" s="36" t="s">
        <v>62</v>
      </c>
      <c r="B13" s="5" t="s">
        <v>225</v>
      </c>
    </row>
    <row r="14" spans="1:2" ht="15" customHeight="1" x14ac:dyDescent="0.25">
      <c r="A14" s="36" t="s">
        <v>62</v>
      </c>
      <c r="B14" s="5" t="s">
        <v>226</v>
      </c>
    </row>
    <row r="15" spans="1:2" ht="15" customHeight="1" x14ac:dyDescent="0.25">
      <c r="A15" s="36" t="s">
        <v>62</v>
      </c>
      <c r="B15" s="5" t="s">
        <v>227</v>
      </c>
    </row>
    <row r="16" spans="1:2" ht="15" customHeight="1" x14ac:dyDescent="0.25">
      <c r="A16" s="36" t="s">
        <v>62</v>
      </c>
      <c r="B16" s="5" t="s">
        <v>228</v>
      </c>
    </row>
    <row r="17" spans="1:2" ht="15" customHeight="1" x14ac:dyDescent="0.25">
      <c r="A17" s="36" t="s">
        <v>62</v>
      </c>
      <c r="B17" s="5" t="s">
        <v>229</v>
      </c>
    </row>
    <row r="18" spans="1:2" ht="15" customHeight="1" x14ac:dyDescent="0.25">
      <c r="A18" s="36" t="s">
        <v>62</v>
      </c>
      <c r="B18" s="5" t="s">
        <v>230</v>
      </c>
    </row>
    <row r="19" spans="1:2" ht="15" customHeight="1" x14ac:dyDescent="0.25">
      <c r="A19" s="36" t="s">
        <v>62</v>
      </c>
      <c r="B19" s="5" t="s">
        <v>231</v>
      </c>
    </row>
    <row r="20" spans="1:2" ht="15" customHeight="1" x14ac:dyDescent="0.25">
      <c r="A20" s="36" t="s">
        <v>62</v>
      </c>
      <c r="B20" s="5" t="s">
        <v>232</v>
      </c>
    </row>
    <row r="21" spans="1:2" ht="15" customHeight="1" x14ac:dyDescent="0.25">
      <c r="A21" s="36" t="s">
        <v>62</v>
      </c>
      <c r="B21" s="5" t="s">
        <v>233</v>
      </c>
    </row>
    <row r="22" spans="1:2" ht="15" customHeight="1" x14ac:dyDescent="0.25">
      <c r="A22" s="48" t="s">
        <v>150</v>
      </c>
      <c r="B22" s="10" t="s">
        <v>234</v>
      </c>
    </row>
    <row r="23" spans="1:2" ht="15" customHeight="1" x14ac:dyDescent="0.25">
      <c r="A23" s="48" t="s">
        <v>150</v>
      </c>
      <c r="B23" s="10" t="s">
        <v>235</v>
      </c>
    </row>
    <row r="24" spans="1:2" ht="15" customHeight="1" x14ac:dyDescent="0.25">
      <c r="A24" s="48" t="s">
        <v>150</v>
      </c>
      <c r="B24" s="10" t="s">
        <v>236</v>
      </c>
    </row>
    <row r="25" spans="1:2" ht="15" customHeight="1" x14ac:dyDescent="0.25">
      <c r="A25" s="48" t="s">
        <v>150</v>
      </c>
      <c r="B25" s="10" t="s">
        <v>237</v>
      </c>
    </row>
    <row r="26" spans="1:2" ht="15" customHeight="1" x14ac:dyDescent="0.25">
      <c r="A26" s="48" t="s">
        <v>150</v>
      </c>
      <c r="B26" s="10" t="s">
        <v>238</v>
      </c>
    </row>
    <row r="27" spans="1:2" ht="15" customHeight="1" x14ac:dyDescent="0.25">
      <c r="A27" s="48" t="s">
        <v>150</v>
      </c>
      <c r="B27" s="10" t="s">
        <v>239</v>
      </c>
    </row>
    <row r="28" spans="1:2" ht="15" customHeight="1" x14ac:dyDescent="0.25">
      <c r="A28" s="36" t="s">
        <v>149</v>
      </c>
      <c r="B28" s="5" t="s">
        <v>240</v>
      </c>
    </row>
    <row r="29" spans="1:2" ht="15" customHeight="1" x14ac:dyDescent="0.25">
      <c r="A29" s="36" t="s">
        <v>149</v>
      </c>
      <c r="B29" s="5" t="s">
        <v>241</v>
      </c>
    </row>
    <row r="30" spans="1:2" ht="15" customHeight="1" x14ac:dyDescent="0.25">
      <c r="A30" s="36" t="s">
        <v>149</v>
      </c>
      <c r="B30" s="5" t="s">
        <v>242</v>
      </c>
    </row>
    <row r="31" spans="1:2" ht="15" customHeight="1" x14ac:dyDescent="0.25">
      <c r="A31" s="39" t="s">
        <v>45</v>
      </c>
      <c r="B31" s="39" t="s">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5BE2-F414-4CEC-BCAD-65FE9158A8F9}">
  <sheetPr codeName="Hoja5"/>
  <dimension ref="A1:S151"/>
  <sheetViews>
    <sheetView zoomScaleNormal="100" workbookViewId="0">
      <pane ySplit="1" topLeftCell="A2" activePane="bottomLeft" state="frozen"/>
      <selection activeCell="E1" sqref="E1"/>
      <selection pane="bottomLeft" activeCell="I3" sqref="I3"/>
    </sheetView>
  </sheetViews>
  <sheetFormatPr baseColWidth="10" defaultRowHeight="15" x14ac:dyDescent="0.25"/>
  <cols>
    <col min="1" max="1" width="20.5703125" bestFit="1" customWidth="1"/>
    <col min="2" max="2" width="11.28515625" bestFit="1" customWidth="1"/>
    <col min="3" max="3" width="26" bestFit="1" customWidth="1"/>
    <col min="4" max="4" width="23" bestFit="1" customWidth="1"/>
    <col min="5" max="5" width="51.28515625" bestFit="1" customWidth="1"/>
    <col min="6" max="6" width="18" bestFit="1" customWidth="1"/>
    <col min="7" max="7" width="10.140625" style="84" bestFit="1" customWidth="1"/>
    <col min="8" max="8" width="20" bestFit="1" customWidth="1"/>
    <col min="9" max="9" width="26" bestFit="1" customWidth="1"/>
    <col min="10" max="10" width="12.5703125" bestFit="1" customWidth="1"/>
    <col min="11" max="11" width="15.140625" hidden="1" customWidth="1"/>
    <col min="12" max="12" width="10.5703125" hidden="1" customWidth="1"/>
    <col min="13" max="13" width="12" hidden="1" customWidth="1"/>
    <col min="14" max="14" width="13.85546875" style="6" bestFit="1" customWidth="1"/>
    <col min="17" max="19" width="0" hidden="1" customWidth="1"/>
  </cols>
  <sheetData>
    <row r="1" spans="1:19" x14ac:dyDescent="0.25">
      <c r="A1" s="11" t="s">
        <v>152</v>
      </c>
      <c r="B1" s="11" t="s">
        <v>140</v>
      </c>
      <c r="C1" s="11" t="s">
        <v>146</v>
      </c>
      <c r="D1" s="11" t="s">
        <v>151</v>
      </c>
      <c r="E1" s="11" t="s">
        <v>34</v>
      </c>
      <c r="F1" s="74" t="s">
        <v>147</v>
      </c>
      <c r="G1" s="86" t="s">
        <v>74</v>
      </c>
      <c r="H1" s="81" t="s">
        <v>61</v>
      </c>
      <c r="I1" s="81" t="s">
        <v>145</v>
      </c>
      <c r="J1" s="25" t="s">
        <v>141</v>
      </c>
      <c r="K1" s="85" t="s">
        <v>143</v>
      </c>
      <c r="L1" s="85" t="s">
        <v>142</v>
      </c>
      <c r="M1" s="85" t="s">
        <v>144</v>
      </c>
      <c r="N1" s="39" t="s">
        <v>189</v>
      </c>
      <c r="O1" s="42" t="s">
        <v>63</v>
      </c>
    </row>
    <row r="2" spans="1:19" x14ac:dyDescent="0.25">
      <c r="A2" s="47" t="s">
        <v>153</v>
      </c>
      <c r="B2" s="47">
        <v>45917</v>
      </c>
      <c r="C2" s="35" t="s">
        <v>148</v>
      </c>
      <c r="D2" s="38" t="s">
        <v>135</v>
      </c>
      <c r="E2" s="9" t="s">
        <v>114</v>
      </c>
      <c r="F2" s="75">
        <v>34.5</v>
      </c>
      <c r="G2" s="30">
        <v>0.1388888888888889</v>
      </c>
      <c r="H2" s="82" t="s">
        <v>61</v>
      </c>
      <c r="I2" s="82">
        <v>8.625</v>
      </c>
      <c r="J2" s="30"/>
      <c r="K2" s="85"/>
      <c r="L2" s="85"/>
      <c r="M2" s="85"/>
      <c r="N2" s="14" t="str">
        <f>IF(ANÁLISIS_EQUIPO[[#This Row],[PESO]]=0,"SIN IMPACTO",IF(G2&lt;=MAX(G$2:G$30)/4,"BAJO",
 IF(G2&lt;=MAX(G$2:G$30)/2,"MEDIO",
 IF(G2&lt;=MAX(G$2:G$30)*3/4,"ALTO","CRITICO"))))</f>
        <v>CRITICO</v>
      </c>
      <c r="O2" s="92">
        <f>IF(COUNTIF(N$2:N2,N2)=1,SUMIF(N$2:N$30,N2,G$2:G$30),"")</f>
        <v>0.37500000000000011</v>
      </c>
    </row>
    <row r="3" spans="1:19" x14ac:dyDescent="0.25">
      <c r="A3" s="47" t="s">
        <v>153</v>
      </c>
      <c r="B3" s="47">
        <v>45917</v>
      </c>
      <c r="C3" s="35" t="s">
        <v>148</v>
      </c>
      <c r="D3" s="38" t="s">
        <v>135</v>
      </c>
      <c r="E3" s="9" t="s">
        <v>113</v>
      </c>
      <c r="F3" s="75">
        <v>31.050000000000004</v>
      </c>
      <c r="G3" s="30">
        <v>0.12500000000000003</v>
      </c>
      <c r="H3" s="82">
        <v>23.287500000000001</v>
      </c>
      <c r="I3" s="82">
        <v>7.7625000000000028</v>
      </c>
      <c r="J3" s="30"/>
      <c r="K3" s="85"/>
      <c r="L3" s="85"/>
      <c r="M3" s="85"/>
      <c r="N3" s="14" t="str">
        <f>IF(ANÁLISIS_EQUIPO[[#This Row],[PESO]]=0,"SIN IMPACTO",IF(G3&lt;=MAX(G$2:G$30)/4,"BAJO",
 IF(G3&lt;=MAX(G$2:G$30)/2,"MEDIO",
 IF(G3&lt;=MAX(G$2:G$30)*3/4,"ALTO","CRITICO"))))</f>
        <v>CRITICO</v>
      </c>
      <c r="O3" s="92" t="str">
        <f>IF(COUNTIF(N$2:N3,N3)=1,SUMIF(N$2:N$30,N3,G$2:G$30),"")</f>
        <v/>
      </c>
    </row>
    <row r="4" spans="1:19" x14ac:dyDescent="0.25">
      <c r="A4" s="47" t="s">
        <v>153</v>
      </c>
      <c r="B4" s="47">
        <v>45917</v>
      </c>
      <c r="C4" s="35" t="s">
        <v>148</v>
      </c>
      <c r="D4" s="38" t="s">
        <v>135</v>
      </c>
      <c r="E4" s="9" t="s">
        <v>112</v>
      </c>
      <c r="F4" s="75">
        <v>27.6</v>
      </c>
      <c r="G4" s="30">
        <v>0.11111111111111113</v>
      </c>
      <c r="H4" s="82">
        <v>20.700000000000003</v>
      </c>
      <c r="I4" s="82">
        <v>6.8999999999999986</v>
      </c>
      <c r="J4" s="30"/>
      <c r="K4" s="85"/>
      <c r="L4" s="85"/>
      <c r="M4" s="85"/>
      <c r="N4" s="14" t="str">
        <f>IF(ANÁLISIS_EQUIPO[[#This Row],[PESO]]=0,"SIN IMPACTO",IF(G4&lt;=MAX(G$2:G$30)/4,"BAJO",
 IF(G4&lt;=MAX(G$2:G$30)/2,"MEDIO",
 IF(G4&lt;=MAX(G$2:G$30)*3/4,"ALTO","CRITICO"))))</f>
        <v>CRITICO</v>
      </c>
      <c r="O4" s="92" t="str">
        <f>IF(COUNTIF(N$2:N4,N4)=1,SUMIF(N$2:N$30,N4,G$2:G$30),"")</f>
        <v/>
      </c>
    </row>
    <row r="5" spans="1:19" x14ac:dyDescent="0.25">
      <c r="A5" s="47" t="s">
        <v>153</v>
      </c>
      <c r="B5" s="47">
        <v>45917</v>
      </c>
      <c r="C5" s="35" t="s">
        <v>148</v>
      </c>
      <c r="D5" s="38" t="s">
        <v>135</v>
      </c>
      <c r="E5" s="9" t="s">
        <v>109</v>
      </c>
      <c r="F5" s="75">
        <v>24.150000000000002</v>
      </c>
      <c r="G5" s="30">
        <v>9.7222222222222238E-2</v>
      </c>
      <c r="H5" s="82">
        <v>18.112500000000001</v>
      </c>
      <c r="I5" s="82">
        <v>6.0375000000000014</v>
      </c>
      <c r="J5" s="30"/>
      <c r="K5" s="85"/>
      <c r="L5" s="85"/>
      <c r="M5" s="85"/>
      <c r="N5" s="14" t="str">
        <f>IF(ANÁLISIS_EQUIPO[[#This Row],[PESO]]=0,"SIN IMPACTO",IF(G5&lt;=MAX(G$2:G$30)/4,"BAJO",
 IF(G5&lt;=MAX(G$2:G$30)/2,"MEDIO",
 IF(G5&lt;=MAX(G$2:G$30)*3/4,"ALTO","CRITICO"))))</f>
        <v>ALTO</v>
      </c>
      <c r="O5" s="92">
        <f>IF(COUNTIF(N$2:N5,N5)=1,SUMIF(N$2:N$30,N5,G$2:G$30),"")</f>
        <v>9.7222222222222238E-2</v>
      </c>
    </row>
    <row r="6" spans="1:19" x14ac:dyDescent="0.25">
      <c r="A6" s="47" t="s">
        <v>153</v>
      </c>
      <c r="B6" s="47">
        <v>45917</v>
      </c>
      <c r="C6" s="35" t="s">
        <v>148</v>
      </c>
      <c r="D6" s="38" t="s">
        <v>135</v>
      </c>
      <c r="E6" s="9" t="s">
        <v>115</v>
      </c>
      <c r="F6" s="75">
        <v>17.25</v>
      </c>
      <c r="G6" s="30">
        <v>6.9444444444444448E-2</v>
      </c>
      <c r="H6" s="82">
        <v>12.9375</v>
      </c>
      <c r="I6" s="82">
        <v>4.3125</v>
      </c>
      <c r="J6" s="30"/>
      <c r="K6" s="85"/>
      <c r="L6" s="85"/>
      <c r="M6" s="85"/>
      <c r="N6" s="14" t="str">
        <f>IF(ANÁLISIS_EQUIPO[[#This Row],[PESO]]=0,"SIN IMPACTO",IF(G6&lt;=MAX(G$2:G$30)/4,"BAJO",
 IF(G6&lt;=MAX(G$2:G$30)/2,"MEDIO",
 IF(G6&lt;=MAX(G$2:G$30)*3/4,"ALTO","CRITICO"))))</f>
        <v>MEDIO</v>
      </c>
      <c r="O6" s="92">
        <f>IF(COUNTIF(N$2:N6,N6)=1,SUMIF(N$2:N$30,N6,G$2:G$30),"")</f>
        <v>0.4166666666666668</v>
      </c>
      <c r="Q6" s="87" t="s">
        <v>190</v>
      </c>
      <c r="R6" s="87" t="s">
        <v>52</v>
      </c>
      <c r="S6" s="87" t="s">
        <v>187</v>
      </c>
    </row>
    <row r="7" spans="1:19" x14ac:dyDescent="0.25">
      <c r="A7" s="47" t="s">
        <v>153</v>
      </c>
      <c r="B7" s="47">
        <v>45917</v>
      </c>
      <c r="C7" s="35" t="s">
        <v>148</v>
      </c>
      <c r="D7" s="38" t="s">
        <v>135</v>
      </c>
      <c r="E7" s="9" t="s">
        <v>110</v>
      </c>
      <c r="F7" s="75">
        <v>13.8</v>
      </c>
      <c r="G7" s="30">
        <v>5.5555555555555566E-2</v>
      </c>
      <c r="H7" s="82">
        <v>10.350000000000001</v>
      </c>
      <c r="I7" s="82">
        <v>3.4499999999999993</v>
      </c>
      <c r="J7" s="30"/>
      <c r="K7" s="85"/>
      <c r="L7" s="85"/>
      <c r="M7" s="85"/>
      <c r="N7" s="14" t="str">
        <f>IF(ANÁLISIS_EQUIPO[[#This Row],[PESO]]=0,"SIN IMPACTO",IF(G7&lt;=MAX(G$2:G$30)/4,"BAJO",
 IF(G7&lt;=MAX(G$2:G$30)/2,"MEDIO",
 IF(G7&lt;=MAX(G$2:G$30)*3/4,"ALTO","CRITICO"))))</f>
        <v>MEDIO</v>
      </c>
      <c r="O7" s="92" t="str">
        <f>IF(COUNTIF(N$2:N7,N7)=1,SUMIF(N$2:N$30,N7,G$2:G$30),"")</f>
        <v/>
      </c>
      <c r="Q7" s="88" t="s">
        <v>66</v>
      </c>
      <c r="R7" s="88" t="s">
        <v>55</v>
      </c>
      <c r="S7" s="88" t="s">
        <v>186</v>
      </c>
    </row>
    <row r="8" spans="1:19" x14ac:dyDescent="0.25">
      <c r="A8" s="47" t="s">
        <v>153</v>
      </c>
      <c r="B8" s="47">
        <v>45917</v>
      </c>
      <c r="C8" s="35" t="s">
        <v>148</v>
      </c>
      <c r="D8" s="38" t="s">
        <v>135</v>
      </c>
      <c r="E8" s="9" t="s">
        <v>111</v>
      </c>
      <c r="F8" s="75">
        <v>13.8</v>
      </c>
      <c r="G8" s="30">
        <v>5.5555555555555566E-2</v>
      </c>
      <c r="H8" s="82">
        <v>10.350000000000001</v>
      </c>
      <c r="I8" s="82">
        <v>3.4499999999999993</v>
      </c>
      <c r="J8" s="30"/>
      <c r="K8" s="85"/>
      <c r="L8" s="85"/>
      <c r="M8" s="85"/>
      <c r="N8" s="14" t="str">
        <f>IF(ANÁLISIS_EQUIPO[[#This Row],[PESO]]=0,"SIN IMPACTO",IF(G8&lt;=MAX(G$2:G$30)/4,"BAJO",
 IF(G8&lt;=MAX(G$2:G$30)/2,"MEDIO",
 IF(G8&lt;=MAX(G$2:G$30)*3/4,"ALTO","CRITICO"))))</f>
        <v>MEDIO</v>
      </c>
      <c r="O8" s="92" t="str">
        <f>IF(COUNTIF(N$2:N8,N8)=1,SUMIF(N$2:N$30,N8,G$2:G$30),"")</f>
        <v/>
      </c>
      <c r="Q8" s="22" t="s">
        <v>65</v>
      </c>
      <c r="R8" s="22" t="s">
        <v>51</v>
      </c>
      <c r="S8" s="22" t="s">
        <v>185</v>
      </c>
    </row>
    <row r="9" spans="1:19" x14ac:dyDescent="0.25">
      <c r="A9" s="47" t="s">
        <v>153</v>
      </c>
      <c r="B9" s="47">
        <v>45917</v>
      </c>
      <c r="C9" s="35" t="s">
        <v>148</v>
      </c>
      <c r="D9" s="38" t="s">
        <v>135</v>
      </c>
      <c r="E9" s="9" t="s">
        <v>117</v>
      </c>
      <c r="F9" s="75">
        <v>13.8</v>
      </c>
      <c r="G9" s="30">
        <v>5.5555555555555566E-2</v>
      </c>
      <c r="H9" s="82">
        <v>10.350000000000001</v>
      </c>
      <c r="I9" s="82">
        <v>3.4499999999999993</v>
      </c>
      <c r="J9" s="30"/>
      <c r="K9" s="85"/>
      <c r="L9" s="85"/>
      <c r="M9" s="85"/>
      <c r="N9" s="14" t="str">
        <f>IF(ANÁLISIS_EQUIPO[[#This Row],[PESO]]=0,"SIN IMPACTO",IF(G9&lt;=MAX(G$2:G$30)/4,"BAJO",
 IF(G9&lt;=MAX(G$2:G$30)/2,"MEDIO",
 IF(G9&lt;=MAX(G$2:G$30)*3/4,"ALTO","CRITICO"))))</f>
        <v>MEDIO</v>
      </c>
      <c r="O9" s="92" t="str">
        <f>IF(COUNTIF(N$2:N9,N9)=1,SUMIF(N$2:N$30,N9,G$2:G$30),"")</f>
        <v/>
      </c>
      <c r="Q9" s="21" t="s">
        <v>64</v>
      </c>
      <c r="R9" s="21" t="s">
        <v>54</v>
      </c>
      <c r="S9" s="21" t="s">
        <v>188</v>
      </c>
    </row>
    <row r="10" spans="1:19" x14ac:dyDescent="0.25">
      <c r="A10" s="47" t="s">
        <v>153</v>
      </c>
      <c r="B10" s="47">
        <v>45917</v>
      </c>
      <c r="C10" s="35" t="s">
        <v>150</v>
      </c>
      <c r="D10" s="38" t="s">
        <v>135</v>
      </c>
      <c r="E10" s="9" t="s">
        <v>123</v>
      </c>
      <c r="F10" s="75">
        <v>13.8</v>
      </c>
      <c r="G10" s="30">
        <v>5.5555555555555566E-2</v>
      </c>
      <c r="H10" s="82">
        <v>10.350000000000001</v>
      </c>
      <c r="I10" s="82">
        <v>3.4499999999999993</v>
      </c>
      <c r="J10" s="30"/>
      <c r="K10" s="85"/>
      <c r="L10" s="85"/>
      <c r="M10" s="85"/>
      <c r="N10" s="14" t="str">
        <f>IF(ANÁLISIS_EQUIPO[[#This Row],[PESO]]=0,"SIN IMPACTO",IF(G10&lt;=MAX(G$2:G$30)/4,"BAJO",
 IF(G10&lt;=MAX(G$2:G$30)/2,"MEDIO",
 IF(G10&lt;=MAX(G$2:G$30)*3/4,"ALTO","CRITICO"))))</f>
        <v>MEDIO</v>
      </c>
      <c r="O10" s="92" t="str">
        <f>IF(COUNTIF(N$2:N10,N10)=1,SUMIF(N$2:N$30,N10,G$2:G$30),"")</f>
        <v/>
      </c>
    </row>
    <row r="11" spans="1:19" x14ac:dyDescent="0.25">
      <c r="A11" s="47" t="s">
        <v>153</v>
      </c>
      <c r="B11" s="47">
        <v>45917</v>
      </c>
      <c r="C11" s="35" t="s">
        <v>148</v>
      </c>
      <c r="D11" s="38" t="s">
        <v>135</v>
      </c>
      <c r="E11" s="9" t="s">
        <v>108</v>
      </c>
      <c r="F11" s="75">
        <v>10.350000000000001</v>
      </c>
      <c r="G11" s="30">
        <v>4.1666666666666678E-2</v>
      </c>
      <c r="H11" s="82">
        <v>7.7625000000000011</v>
      </c>
      <c r="I11" s="82">
        <v>2.5875000000000004</v>
      </c>
      <c r="J11" s="30"/>
      <c r="K11" s="85"/>
      <c r="L11" s="85"/>
      <c r="M11" s="85"/>
      <c r="N11" s="14" t="str">
        <f>IF(ANÁLISIS_EQUIPO[[#This Row],[PESO]]=0,"SIN IMPACTO",IF(G11&lt;=MAX(G$2:G$30)/4,"BAJO",
 IF(G11&lt;=MAX(G$2:G$30)/2,"MEDIO",
 IF(G11&lt;=MAX(G$2:G$30)*3/4,"ALTO","CRITICO"))))</f>
        <v>MEDIO</v>
      </c>
      <c r="O11" s="92" t="str">
        <f>IF(COUNTIF(N$2:N11,N11)=1,SUMIF(N$2:N$30,N11,G$2:G$30),"")</f>
        <v/>
      </c>
    </row>
    <row r="12" spans="1:19" x14ac:dyDescent="0.25">
      <c r="A12" s="47" t="s">
        <v>153</v>
      </c>
      <c r="B12" s="47">
        <v>45917</v>
      </c>
      <c r="C12" s="36" t="s">
        <v>62</v>
      </c>
      <c r="D12" s="45" t="s">
        <v>135</v>
      </c>
      <c r="E12" s="5" t="s">
        <v>28</v>
      </c>
      <c r="F12" s="75">
        <v>10.350000000000001</v>
      </c>
      <c r="G12" s="30">
        <v>4.1666666666666678E-2</v>
      </c>
      <c r="H12" s="82">
        <v>7.7625000000000011</v>
      </c>
      <c r="I12" s="82">
        <v>2.5875000000000004</v>
      </c>
      <c r="J12" s="30"/>
      <c r="K12" s="85"/>
      <c r="L12" s="85"/>
      <c r="M12" s="85"/>
      <c r="N12" s="14" t="str">
        <f>IF(ANÁLISIS_EQUIPO[[#This Row],[PESO]]=0,"SIN IMPACTO",IF(G12&lt;=MAX(G$2:G$30)/4,"BAJO",
 IF(G12&lt;=MAX(G$2:G$30)/2,"MEDIO",
 IF(G12&lt;=MAX(G$2:G$30)*3/4,"ALTO","CRITICO"))))</f>
        <v>MEDIO</v>
      </c>
      <c r="O12" s="92" t="str">
        <f>IF(COUNTIF(N$2:N12,N12)=1,SUMIF(N$2:N$30,N12,G$2:G$30),"")</f>
        <v/>
      </c>
    </row>
    <row r="13" spans="1:19" x14ac:dyDescent="0.25">
      <c r="A13" s="47" t="s">
        <v>153</v>
      </c>
      <c r="B13" s="47">
        <v>45917</v>
      </c>
      <c r="C13" s="36" t="s">
        <v>62</v>
      </c>
      <c r="D13" s="45" t="s">
        <v>135</v>
      </c>
      <c r="E13" s="5" t="s">
        <v>119</v>
      </c>
      <c r="F13" s="75">
        <v>10.350000000000001</v>
      </c>
      <c r="G13" s="30">
        <v>4.1666666666666678E-2</v>
      </c>
      <c r="H13" s="82">
        <v>7.7625000000000011</v>
      </c>
      <c r="I13" s="82">
        <v>2.5875000000000004</v>
      </c>
      <c r="J13" s="30"/>
      <c r="K13" s="85"/>
      <c r="L13" s="85"/>
      <c r="M13" s="85"/>
      <c r="N13" s="14" t="str">
        <f>IF(ANÁLISIS_EQUIPO[[#This Row],[PESO]]=0,"SIN IMPACTO",IF(G13&lt;=MAX(G$2:G$30)/4,"BAJO",
 IF(G13&lt;=MAX(G$2:G$30)/2,"MEDIO",
 IF(G13&lt;=MAX(G$2:G$30)*3/4,"ALTO","CRITICO"))))</f>
        <v>MEDIO</v>
      </c>
      <c r="O13" s="92" t="str">
        <f>IF(COUNTIF(N$2:N13,N13)=1,SUMIF(N$2:N$30,N13,G$2:G$30),"")</f>
        <v/>
      </c>
    </row>
    <row r="14" spans="1:19" x14ac:dyDescent="0.25">
      <c r="A14" s="47" t="s">
        <v>153</v>
      </c>
      <c r="B14" s="47">
        <v>45917</v>
      </c>
      <c r="C14" s="36" t="s">
        <v>148</v>
      </c>
      <c r="D14" s="45" t="s">
        <v>135</v>
      </c>
      <c r="E14" s="5" t="s">
        <v>116</v>
      </c>
      <c r="F14" s="75">
        <v>6.9</v>
      </c>
      <c r="G14" s="30">
        <v>2.7777777777777783E-2</v>
      </c>
      <c r="H14" s="82">
        <v>5.1750000000000007</v>
      </c>
      <c r="I14" s="82">
        <v>1.7249999999999996</v>
      </c>
      <c r="J14" s="30"/>
      <c r="K14" s="85"/>
      <c r="L14" s="85"/>
      <c r="M14" s="85"/>
      <c r="N14" s="14" t="str">
        <f>IF(ANÁLISIS_EQUIPO[[#This Row],[PESO]]=0,"SIN IMPACTO",IF(G14&lt;=MAX(G$2:G$30)/4,"BAJO",
 IF(G14&lt;=MAX(G$2:G$30)/2,"MEDIO",
 IF(G14&lt;=MAX(G$2:G$30)*3/4,"ALTO","CRITICO"))))</f>
        <v>BAJO</v>
      </c>
      <c r="O14" s="92">
        <f>IF(COUNTIF(N$2:N14,N14)=1,SUMIF(N$2:N$30,N14,G$2:G$30),"")</f>
        <v>0.11111111111111115</v>
      </c>
    </row>
    <row r="15" spans="1:19" x14ac:dyDescent="0.25">
      <c r="A15" s="47" t="s">
        <v>153</v>
      </c>
      <c r="B15" s="47">
        <v>45917</v>
      </c>
      <c r="C15" s="36" t="s">
        <v>62</v>
      </c>
      <c r="D15" s="45" t="s">
        <v>135</v>
      </c>
      <c r="E15" s="5" t="s">
        <v>118</v>
      </c>
      <c r="F15" s="75">
        <v>6.9</v>
      </c>
      <c r="G15" s="30">
        <v>2.7777777777777783E-2</v>
      </c>
      <c r="H15" s="82">
        <v>5.1750000000000007</v>
      </c>
      <c r="I15" s="82">
        <v>1.7249999999999996</v>
      </c>
      <c r="J15" s="30"/>
      <c r="K15" s="85"/>
      <c r="L15" s="85"/>
      <c r="M15" s="85"/>
      <c r="N15" s="14" t="str">
        <f>IF(ANÁLISIS_EQUIPO[[#This Row],[PESO]]=0,"SIN IMPACTO",IF(G15&lt;=MAX(G$2:G$30)/4,"BAJO",
 IF(G15&lt;=MAX(G$2:G$30)/2,"MEDIO",
 IF(G15&lt;=MAX(G$2:G$30)*3/4,"ALTO","CRITICO"))))</f>
        <v>BAJO</v>
      </c>
      <c r="O15" s="92" t="str">
        <f>IF(COUNTIF(N$2:N15,N15)=1,SUMIF(N$2:N$30,N15,G$2:G$30),"")</f>
        <v/>
      </c>
    </row>
    <row r="16" spans="1:19" x14ac:dyDescent="0.25">
      <c r="A16" s="47" t="s">
        <v>153</v>
      </c>
      <c r="B16" s="47">
        <v>45917</v>
      </c>
      <c r="C16" s="36" t="s">
        <v>62</v>
      </c>
      <c r="D16" s="45" t="s">
        <v>135</v>
      </c>
      <c r="E16" s="5" t="s">
        <v>24</v>
      </c>
      <c r="F16" s="75">
        <v>3.45</v>
      </c>
      <c r="G16" s="30">
        <v>1.3888888888888892E-2</v>
      </c>
      <c r="H16" s="82">
        <v>2.5875000000000004</v>
      </c>
      <c r="I16" s="82">
        <v>0.86249999999999982</v>
      </c>
      <c r="J16" s="30"/>
      <c r="K16" s="85"/>
      <c r="L16" s="85"/>
      <c r="M16" s="85"/>
      <c r="N16" s="14" t="str">
        <f>IF(ANÁLISIS_EQUIPO[[#This Row],[PESO]]=0,"SIN IMPACTO",IF(G16&lt;=MAX(G$2:G$30)/4,"BAJO",
 IF(G16&lt;=MAX(G$2:G$30)/2,"MEDIO",
 IF(G16&lt;=MAX(G$2:G$30)*3/4,"ALTO","CRITICO"))))</f>
        <v>BAJO</v>
      </c>
      <c r="O16" s="92" t="str">
        <f>IF(COUNTIF(N$2:N16,N16)=1,SUMIF(N$2:N$30,N16,G$2:G$30),"")</f>
        <v/>
      </c>
    </row>
    <row r="17" spans="1:15" x14ac:dyDescent="0.25">
      <c r="A17" s="47" t="s">
        <v>153</v>
      </c>
      <c r="B17" s="47">
        <v>45917</v>
      </c>
      <c r="C17" s="36" t="s">
        <v>62</v>
      </c>
      <c r="D17" s="45" t="s">
        <v>135</v>
      </c>
      <c r="E17" s="5" t="s">
        <v>26</v>
      </c>
      <c r="F17" s="75">
        <v>3.45</v>
      </c>
      <c r="G17" s="30">
        <v>1.3888888888888892E-2</v>
      </c>
      <c r="H17" s="82">
        <v>2.5875000000000004</v>
      </c>
      <c r="I17" s="82">
        <v>0.86249999999999982</v>
      </c>
      <c r="J17" s="30"/>
      <c r="K17" s="85"/>
      <c r="L17" s="85"/>
      <c r="M17" s="85"/>
      <c r="N17" s="14" t="str">
        <f>IF(ANÁLISIS_EQUIPO[[#This Row],[PESO]]=0,"SIN IMPACTO",IF(G17&lt;=MAX(G$2:G$30)/4,"BAJO",
 IF(G17&lt;=MAX(G$2:G$30)/2,"MEDIO",
 IF(G17&lt;=MAX(G$2:G$30)*3/4,"ALTO","CRITICO"))))</f>
        <v>BAJO</v>
      </c>
      <c r="O17" s="92" t="str">
        <f>IF(COUNTIF(N$2:N17,N17)=1,SUMIF(N$2:N$30,N17,G$2:G$30),"")</f>
        <v/>
      </c>
    </row>
    <row r="18" spans="1:15" x14ac:dyDescent="0.25">
      <c r="A18" s="47" t="s">
        <v>153</v>
      </c>
      <c r="B18" s="47">
        <v>45917</v>
      </c>
      <c r="C18" s="36" t="s">
        <v>150</v>
      </c>
      <c r="D18" s="45" t="s">
        <v>135</v>
      </c>
      <c r="E18" s="5" t="s">
        <v>124</v>
      </c>
      <c r="F18" s="75">
        <v>3.45</v>
      </c>
      <c r="G18" s="30">
        <v>1.3888888888888892E-2</v>
      </c>
      <c r="H18" s="82">
        <v>2.5875000000000004</v>
      </c>
      <c r="I18" s="82">
        <v>0.86249999999999982</v>
      </c>
      <c r="J18" s="30"/>
      <c r="K18" s="85"/>
      <c r="L18" s="85"/>
      <c r="M18" s="85"/>
      <c r="N18" s="14" t="str">
        <f>IF(ANÁLISIS_EQUIPO[[#This Row],[PESO]]=0,"SIN IMPACTO",IF(G18&lt;=MAX(G$2:G$30)/4,"BAJO",
 IF(G18&lt;=MAX(G$2:G$30)/2,"MEDIO",
 IF(G18&lt;=MAX(G$2:G$30)*3/4,"ALTO","CRITICO"))))</f>
        <v>BAJO</v>
      </c>
      <c r="O18" s="92" t="str">
        <f>IF(COUNTIF(N$2:N18,N18)=1,SUMIF(N$2:N$30,N18,G$2:G$30),"")</f>
        <v/>
      </c>
    </row>
    <row r="19" spans="1:15" x14ac:dyDescent="0.25">
      <c r="A19" s="47" t="s">
        <v>153</v>
      </c>
      <c r="B19" s="47">
        <v>45917</v>
      </c>
      <c r="C19" s="36" t="s">
        <v>149</v>
      </c>
      <c r="D19" s="45" t="s">
        <v>135</v>
      </c>
      <c r="E19" s="5" t="s">
        <v>31</v>
      </c>
      <c r="F19" s="75">
        <v>3.45</v>
      </c>
      <c r="G19" s="30">
        <v>1.3888888888888892E-2</v>
      </c>
      <c r="H19" s="82">
        <v>2.5875000000000004</v>
      </c>
      <c r="I19" s="82">
        <v>0.86249999999999982</v>
      </c>
      <c r="J19" s="30"/>
      <c r="K19" s="85"/>
      <c r="L19" s="85"/>
      <c r="M19" s="85"/>
      <c r="N19" s="14" t="str">
        <f>IF(ANÁLISIS_EQUIPO[[#This Row],[PESO]]=0,"SIN IMPACTO",IF(G19&lt;=MAX(G$2:G$30)/4,"BAJO",
 IF(G19&lt;=MAX(G$2:G$30)/2,"MEDIO",
 IF(G19&lt;=MAX(G$2:G$30)*3/4,"ALTO","CRITICO"))))</f>
        <v>BAJO</v>
      </c>
      <c r="O19" s="92" t="str">
        <f>IF(COUNTIF(N$2:N19,N19)=1,SUMIF(N$2:N$30,N19,G$2:G$30),"")</f>
        <v/>
      </c>
    </row>
    <row r="20" spans="1:15" x14ac:dyDescent="0.25">
      <c r="A20" s="47" t="s">
        <v>153</v>
      </c>
      <c r="B20" s="47">
        <v>45917</v>
      </c>
      <c r="C20" s="36" t="s">
        <v>62</v>
      </c>
      <c r="D20" s="45" t="s">
        <v>135</v>
      </c>
      <c r="E20" s="5" t="s">
        <v>25</v>
      </c>
      <c r="F20" s="75">
        <v>0</v>
      </c>
      <c r="G20" s="30">
        <v>0</v>
      </c>
      <c r="H20" s="82">
        <v>0</v>
      </c>
      <c r="I20" s="82">
        <v>0</v>
      </c>
      <c r="J20" s="30"/>
      <c r="K20" s="85"/>
      <c r="L20" s="85"/>
      <c r="M20" s="85"/>
      <c r="N20" s="14" t="str">
        <f>IF(ANÁLISIS_EQUIPO[[#This Row],[PESO]]=0,"SIN IMPACTO",IF(G20&lt;=MAX(G$2:G$30)/4,"BAJO",
 IF(G20&lt;=MAX(G$2:G$30)/2,"MEDIO",
 IF(G20&lt;=MAX(G$2:G$30)*3/4,"ALTO","CRITICO"))))</f>
        <v>SIN IMPACTO</v>
      </c>
      <c r="O20" s="92">
        <f>IF(COUNTIF(N$2:N20,N20)=1,SUMIF(N$2:N$30,N20,G$2:G$30),"")</f>
        <v>0</v>
      </c>
    </row>
    <row r="21" spans="1:15" x14ac:dyDescent="0.25">
      <c r="A21" s="47" t="s">
        <v>153</v>
      </c>
      <c r="B21" s="47">
        <v>45917</v>
      </c>
      <c r="C21" s="36" t="s">
        <v>62</v>
      </c>
      <c r="D21" s="45" t="s">
        <v>135</v>
      </c>
      <c r="E21" s="5" t="s">
        <v>27</v>
      </c>
      <c r="F21" s="75">
        <v>0</v>
      </c>
      <c r="G21" s="30">
        <v>0</v>
      </c>
      <c r="H21" s="82">
        <v>0</v>
      </c>
      <c r="I21" s="82">
        <v>0</v>
      </c>
      <c r="J21" s="30"/>
      <c r="K21" s="85"/>
      <c r="L21" s="85"/>
      <c r="M21" s="85"/>
      <c r="N21" s="14" t="str">
        <f>IF(ANÁLISIS_EQUIPO[[#This Row],[PESO]]=0,"SIN IMPACTO",IF(G21&lt;=MAX(G$2:G$30)/4,"BAJO",
 IF(G21&lt;=MAX(G$2:G$30)/2,"MEDIO",
 IF(G21&lt;=MAX(G$2:G$30)*3/4,"ALTO","CRITICO"))))</f>
        <v>SIN IMPACTO</v>
      </c>
      <c r="O21" s="92" t="str">
        <f>IF(COUNTIF(N$2:N21,N21)=1,SUMIF(N$2:N$30,N21,G$2:G$30),"")</f>
        <v/>
      </c>
    </row>
    <row r="22" spans="1:15" x14ac:dyDescent="0.25">
      <c r="A22" s="47" t="s">
        <v>153</v>
      </c>
      <c r="B22" s="47">
        <v>45917</v>
      </c>
      <c r="C22" s="48" t="s">
        <v>62</v>
      </c>
      <c r="D22" s="46" t="s">
        <v>135</v>
      </c>
      <c r="E22" s="10" t="s">
        <v>120</v>
      </c>
      <c r="F22" s="75">
        <v>0</v>
      </c>
      <c r="G22" s="30">
        <v>0</v>
      </c>
      <c r="H22" s="82">
        <v>0</v>
      </c>
      <c r="I22" s="82">
        <v>0</v>
      </c>
      <c r="J22" s="89"/>
      <c r="K22" s="85"/>
      <c r="L22" s="85"/>
      <c r="M22" s="85"/>
      <c r="N22" s="14" t="str">
        <f>IF(ANÁLISIS_EQUIPO[[#This Row],[PESO]]=0,"SIN IMPACTO",IF(G22&lt;=MAX(G$2:G$30)/4,"BAJO",
 IF(G22&lt;=MAX(G$2:G$30)/2,"MEDIO",
 IF(G22&lt;=MAX(G$2:G$30)*3/4,"ALTO","CRITICO"))))</f>
        <v>SIN IMPACTO</v>
      </c>
      <c r="O22" s="92" t="str">
        <f>IF(COUNTIF(N$2:N22,N22)=1,SUMIF(N$2:N$30,N22,G$2:G$30),"")</f>
        <v/>
      </c>
    </row>
    <row r="23" spans="1:15" x14ac:dyDescent="0.25">
      <c r="A23" s="47" t="s">
        <v>153</v>
      </c>
      <c r="B23" s="47">
        <v>45917</v>
      </c>
      <c r="C23" s="48" t="s">
        <v>62</v>
      </c>
      <c r="D23" s="46" t="s">
        <v>135</v>
      </c>
      <c r="E23" s="10" t="s">
        <v>121</v>
      </c>
      <c r="F23" s="75">
        <v>0</v>
      </c>
      <c r="G23" s="30">
        <v>0</v>
      </c>
      <c r="H23" s="82">
        <v>0</v>
      </c>
      <c r="I23" s="82">
        <v>0</v>
      </c>
      <c r="J23" s="89"/>
      <c r="K23" s="85"/>
      <c r="L23" s="85"/>
      <c r="M23" s="85"/>
      <c r="N23" s="14" t="str">
        <f>IF(ANÁLISIS_EQUIPO[[#This Row],[PESO]]=0,"SIN IMPACTO",IF(G23&lt;=MAX(G$2:G$30)/4,"BAJO",
 IF(G23&lt;=MAX(G$2:G$30)/2,"MEDIO",
 IF(G23&lt;=MAX(G$2:G$30)*3/4,"ALTO","CRITICO"))))</f>
        <v>SIN IMPACTO</v>
      </c>
      <c r="O23" s="92" t="str">
        <f>IF(COUNTIF(N$2:N23,N23)=1,SUMIF(N$2:N$30,N23,G$2:G$30),"")</f>
        <v/>
      </c>
    </row>
    <row r="24" spans="1:15" x14ac:dyDescent="0.25">
      <c r="A24" s="47" t="s">
        <v>153</v>
      </c>
      <c r="B24" s="47">
        <v>45917</v>
      </c>
      <c r="C24" s="48" t="s">
        <v>62</v>
      </c>
      <c r="D24" s="46" t="s">
        <v>135</v>
      </c>
      <c r="E24" s="10" t="s">
        <v>122</v>
      </c>
      <c r="F24" s="75">
        <v>0</v>
      </c>
      <c r="G24" s="30">
        <v>0</v>
      </c>
      <c r="H24" s="82">
        <v>0</v>
      </c>
      <c r="I24" s="82">
        <v>0</v>
      </c>
      <c r="J24" s="89"/>
      <c r="K24" s="85"/>
      <c r="L24" s="85"/>
      <c r="M24" s="85"/>
      <c r="N24" s="14" t="str">
        <f>IF(ANÁLISIS_EQUIPO[[#This Row],[PESO]]=0,"SIN IMPACTO",IF(G24&lt;=MAX(G$2:G$30)/4,"BAJO",
 IF(G24&lt;=MAX(G$2:G$30)/2,"MEDIO",
 IF(G24&lt;=MAX(G$2:G$30)*3/4,"ALTO","CRITICO"))))</f>
        <v>SIN IMPACTO</v>
      </c>
      <c r="O24" s="92" t="str">
        <f>IF(COUNTIF(N$2:N24,N24)=1,SUMIF(N$2:N$30,N24,G$2:G$30),"")</f>
        <v/>
      </c>
    </row>
    <row r="25" spans="1:15" x14ac:dyDescent="0.25">
      <c r="A25" s="47" t="s">
        <v>153</v>
      </c>
      <c r="B25" s="47">
        <v>45917</v>
      </c>
      <c r="C25" s="48" t="s">
        <v>150</v>
      </c>
      <c r="D25" s="46" t="s">
        <v>135</v>
      </c>
      <c r="E25" s="10" t="s">
        <v>125</v>
      </c>
      <c r="F25" s="75">
        <v>0</v>
      </c>
      <c r="G25" s="30">
        <v>0</v>
      </c>
      <c r="H25" s="82">
        <v>0</v>
      </c>
      <c r="I25" s="82">
        <v>0</v>
      </c>
      <c r="J25" s="89"/>
      <c r="K25" s="85"/>
      <c r="L25" s="85"/>
      <c r="M25" s="85"/>
      <c r="N25" s="14" t="str">
        <f>IF(ANÁLISIS_EQUIPO[[#This Row],[PESO]]=0,"SIN IMPACTO",IF(G25&lt;=MAX(G$2:G$30)/4,"BAJO",
 IF(G25&lt;=MAX(G$2:G$30)/2,"MEDIO",
 IF(G25&lt;=MAX(G$2:G$30)*3/4,"ALTO","CRITICO"))))</f>
        <v>SIN IMPACTO</v>
      </c>
      <c r="O25" s="92" t="str">
        <f>IF(COUNTIF(N$2:N25,N25)=1,SUMIF(N$2:N$30,N25,G$2:G$30),"")</f>
        <v/>
      </c>
    </row>
    <row r="26" spans="1:15" x14ac:dyDescent="0.25">
      <c r="A26" s="47" t="s">
        <v>153</v>
      </c>
      <c r="B26" s="47">
        <v>45917</v>
      </c>
      <c r="C26" s="48" t="s">
        <v>150</v>
      </c>
      <c r="D26" s="46" t="s">
        <v>135</v>
      </c>
      <c r="E26" s="10" t="s">
        <v>126</v>
      </c>
      <c r="F26" s="75">
        <v>0</v>
      </c>
      <c r="G26" s="30">
        <v>0</v>
      </c>
      <c r="H26" s="82">
        <v>0</v>
      </c>
      <c r="I26" s="82">
        <v>0</v>
      </c>
      <c r="J26" s="89"/>
      <c r="K26" s="85"/>
      <c r="L26" s="85"/>
      <c r="M26" s="85"/>
      <c r="N26" s="14" t="str">
        <f>IF(ANÁLISIS_EQUIPO[[#This Row],[PESO]]=0,"SIN IMPACTO",IF(G26&lt;=MAX(G$2:G$30)/4,"BAJO",
 IF(G26&lt;=MAX(G$2:G$30)/2,"MEDIO",
 IF(G26&lt;=MAX(G$2:G$30)*3/4,"ALTO","CRITICO"))))</f>
        <v>SIN IMPACTO</v>
      </c>
      <c r="O26" s="92" t="str">
        <f>IF(COUNTIF(N$2:N26,N26)=1,SUMIF(N$2:N$30,N26,G$2:G$30),"")</f>
        <v/>
      </c>
    </row>
    <row r="27" spans="1:15" x14ac:dyDescent="0.25">
      <c r="A27" s="47" t="s">
        <v>153</v>
      </c>
      <c r="B27" s="47">
        <v>45917</v>
      </c>
      <c r="C27" s="48" t="s">
        <v>150</v>
      </c>
      <c r="D27" s="46" t="s">
        <v>135</v>
      </c>
      <c r="E27" s="10" t="s">
        <v>127</v>
      </c>
      <c r="F27" s="75">
        <v>0</v>
      </c>
      <c r="G27" s="30">
        <v>0</v>
      </c>
      <c r="H27" s="82">
        <v>0</v>
      </c>
      <c r="I27" s="82">
        <v>0</v>
      </c>
      <c r="J27" s="89"/>
      <c r="K27" s="85"/>
      <c r="L27" s="85"/>
      <c r="M27" s="85"/>
      <c r="N27" s="14" t="str">
        <f>IF(ANÁLISIS_EQUIPO[[#This Row],[PESO]]=0,"SIN IMPACTO",IF(G27&lt;=MAX(G$2:G$30)/4,"BAJO",
 IF(G27&lt;=MAX(G$2:G$30)/2,"MEDIO",
 IF(G27&lt;=MAX(G$2:G$30)*3/4,"ALTO","CRITICO"))))</f>
        <v>SIN IMPACTO</v>
      </c>
      <c r="O27" s="92" t="str">
        <f>IF(COUNTIF(N$2:N27,N27)=1,SUMIF(N$2:N$30,N27,G$2:G$30),"")</f>
        <v/>
      </c>
    </row>
    <row r="28" spans="1:15" x14ac:dyDescent="0.25">
      <c r="A28" s="47" t="s">
        <v>153</v>
      </c>
      <c r="B28" s="47">
        <v>45917</v>
      </c>
      <c r="C28" s="36" t="s">
        <v>150</v>
      </c>
      <c r="D28" s="45" t="s">
        <v>135</v>
      </c>
      <c r="E28" s="5" t="s">
        <v>30</v>
      </c>
      <c r="F28" s="75">
        <v>0</v>
      </c>
      <c r="G28" s="30">
        <v>0</v>
      </c>
      <c r="H28" s="82">
        <v>0</v>
      </c>
      <c r="I28" s="82">
        <v>0</v>
      </c>
      <c r="J28" s="89"/>
      <c r="K28" s="85"/>
      <c r="L28" s="85"/>
      <c r="M28" s="85"/>
      <c r="N28" s="14" t="str">
        <f>IF(ANÁLISIS_EQUIPO[[#This Row],[PESO]]=0,"SIN IMPACTO",IF(G28&lt;=MAX(G$2:G$30)/4,"BAJO",
 IF(G28&lt;=MAX(G$2:G$30)/2,"MEDIO",
 IF(G28&lt;=MAX(G$2:G$30)*3/4,"ALTO","CRITICO"))))</f>
        <v>SIN IMPACTO</v>
      </c>
      <c r="O28" s="92" t="str">
        <f>IF(COUNTIF(N$2:N28,N28)=1,SUMIF(N$2:N$30,N28,G$2:G$30),"")</f>
        <v/>
      </c>
    </row>
    <row r="29" spans="1:15" x14ac:dyDescent="0.25">
      <c r="A29" s="47" t="s">
        <v>153</v>
      </c>
      <c r="B29" s="47">
        <v>45917</v>
      </c>
      <c r="C29" s="36" t="s">
        <v>149</v>
      </c>
      <c r="D29" s="45" t="s">
        <v>135</v>
      </c>
      <c r="E29" s="5" t="s">
        <v>128</v>
      </c>
      <c r="F29" s="75">
        <v>0</v>
      </c>
      <c r="G29" s="30">
        <v>0</v>
      </c>
      <c r="H29" s="82">
        <v>0</v>
      </c>
      <c r="I29" s="82">
        <v>0</v>
      </c>
      <c r="J29" s="89"/>
      <c r="K29" s="85"/>
      <c r="L29" s="85"/>
      <c r="M29" s="85"/>
      <c r="N29" s="14" t="str">
        <f>IF(ANÁLISIS_EQUIPO[[#This Row],[PESO]]=0,"SIN IMPACTO",IF(G29&lt;=MAX(G$2:G$30)/4,"BAJO",
 IF(G29&lt;=MAX(G$2:G$30)/2,"MEDIO",
 IF(G29&lt;=MAX(G$2:G$30)*3/4,"ALTO","CRITICO"))))</f>
        <v>SIN IMPACTO</v>
      </c>
      <c r="O29" s="92" t="str">
        <f>IF(COUNTIF(N$2:N29,N29)=1,SUMIF(N$2:N$30,N29,G$2:G$30),"")</f>
        <v/>
      </c>
    </row>
    <row r="30" spans="1:15" x14ac:dyDescent="0.25">
      <c r="A30" s="47" t="s">
        <v>153</v>
      </c>
      <c r="B30" s="47">
        <v>45917</v>
      </c>
      <c r="C30" s="36" t="s">
        <v>149</v>
      </c>
      <c r="D30" s="45" t="s">
        <v>135</v>
      </c>
      <c r="E30" s="5" t="s">
        <v>129</v>
      </c>
      <c r="F30" s="75">
        <v>0</v>
      </c>
      <c r="G30" s="30">
        <v>0</v>
      </c>
      <c r="H30" s="82">
        <v>0</v>
      </c>
      <c r="I30" s="82">
        <v>0</v>
      </c>
      <c r="J30" s="89"/>
      <c r="K30" s="85"/>
      <c r="L30" s="85"/>
      <c r="M30" s="85"/>
      <c r="N30" s="14" t="str">
        <f>IF(ANÁLISIS_EQUIPO[[#This Row],[PESO]]=0,"SIN IMPACTO",IF(G30&lt;=MAX(G$2:G$30)/4,"BAJO",
 IF(G30&lt;=MAX(G$2:G$30)/2,"MEDIO",
 IF(G30&lt;=MAX(G$2:G$30)*3/4,"ALTO","CRITICO"))))</f>
        <v>SIN IMPACTO</v>
      </c>
      <c r="O30" s="92" t="str">
        <f>IF(COUNTIF(N$2:N30,N30)=1,SUMIF(N$2:N$30,N30,G$2:G$30),"")</f>
        <v/>
      </c>
    </row>
    <row r="31" spans="1:15" s="6" customFormat="1" x14ac:dyDescent="0.25">
      <c r="A31" s="39" t="s">
        <v>153</v>
      </c>
      <c r="B31" s="41">
        <v>45917</v>
      </c>
      <c r="C31" s="39" t="s">
        <v>45</v>
      </c>
      <c r="D31" s="39" t="s">
        <v>180</v>
      </c>
      <c r="E31" s="39" t="s">
        <v>45</v>
      </c>
      <c r="F31" s="79">
        <v>248.39999999999998</v>
      </c>
      <c r="G31" s="44">
        <v>0.99999999999999978</v>
      </c>
      <c r="H31" s="79">
        <v>186.3</v>
      </c>
      <c r="I31" s="79">
        <v>62.09999999999998</v>
      </c>
      <c r="J31" s="43" t="s">
        <v>144</v>
      </c>
      <c r="K31" s="14"/>
      <c r="L31" s="14"/>
      <c r="M31" s="14"/>
      <c r="N31" s="90"/>
      <c r="O31" s="90"/>
    </row>
    <row r="32" spans="1:15" x14ac:dyDescent="0.25">
      <c r="A32" s="47" t="s">
        <v>153</v>
      </c>
      <c r="B32" s="47"/>
      <c r="C32" s="35" t="s">
        <v>148</v>
      </c>
      <c r="D32" s="38" t="s">
        <v>136</v>
      </c>
      <c r="E32" s="9" t="s">
        <v>108</v>
      </c>
      <c r="F32" s="75">
        <v>17.25</v>
      </c>
      <c r="G32" s="30">
        <v>1</v>
      </c>
      <c r="H32" s="82">
        <v>1.9406250000000003</v>
      </c>
      <c r="I32" s="82">
        <v>8.4093750000000007</v>
      </c>
      <c r="J32" s="30" t="s">
        <v>144</v>
      </c>
      <c r="K32" s="85"/>
      <c r="L32" s="85"/>
      <c r="M32" s="85"/>
      <c r="N32" s="14" t="str">
        <f>IF(ANÁLISIS_EQUIPO[[#This Row],[PESO]]=0,"SIN IMPACTO",IF(G32&lt;=MAX(G$32:G$60)/4,"BAJO",
 IF(G32&lt;=MAX(G$32:G$60)/2,"MEDIO",
 IF(G32&lt;=MAX(G$32:G$60)*3/4,"ALTO","CRITICO"))))</f>
        <v>CRITICO</v>
      </c>
      <c r="O32" s="85"/>
    </row>
    <row r="33" spans="1:16" x14ac:dyDescent="0.25">
      <c r="A33" s="47" t="s">
        <v>153</v>
      </c>
      <c r="B33" s="47"/>
      <c r="C33" s="35" t="s">
        <v>148</v>
      </c>
      <c r="D33" s="38" t="s">
        <v>136</v>
      </c>
      <c r="E33" s="9" t="s">
        <v>109</v>
      </c>
      <c r="F33" s="75">
        <v>0</v>
      </c>
      <c r="G33" s="30">
        <v>0</v>
      </c>
      <c r="H33" s="82">
        <v>4.5281250000000002</v>
      </c>
      <c r="I33" s="82">
        <v>19.621875000000003</v>
      </c>
      <c r="J33" s="30" t="s">
        <v>142</v>
      </c>
      <c r="K33" s="85"/>
      <c r="L33" s="85"/>
      <c r="M33" s="85"/>
      <c r="N33" s="14" t="str">
        <f>IF(ANÁLISIS_EQUIPO[[#This Row],[PESO]]=0,"SIN IMPACTO",IF(G33&lt;=MAX(G$32:G$60)/4,"BAJO",
 IF(G33&lt;=MAX(G$32:G$60)/2,"MEDIO",
 IF(G33&lt;=MAX(G$32:G$60)*3/4,"ALTO","CRITICO"))))</f>
        <v>SIN IMPACTO</v>
      </c>
      <c r="O33" s="85"/>
      <c r="P33" s="80"/>
    </row>
    <row r="34" spans="1:16" x14ac:dyDescent="0.25">
      <c r="A34" s="47" t="s">
        <v>153</v>
      </c>
      <c r="B34" s="47"/>
      <c r="C34" s="35" t="s">
        <v>148</v>
      </c>
      <c r="D34" s="38" t="s">
        <v>136</v>
      </c>
      <c r="E34" s="9" t="s">
        <v>110</v>
      </c>
      <c r="F34" s="75">
        <v>0</v>
      </c>
      <c r="G34" s="30">
        <v>0</v>
      </c>
      <c r="H34" s="82">
        <v>2.5875000000000004</v>
      </c>
      <c r="I34" s="82">
        <v>11.2125</v>
      </c>
      <c r="J34" s="30" t="s">
        <v>142</v>
      </c>
      <c r="K34" s="85"/>
      <c r="L34" s="85"/>
      <c r="M34" s="85"/>
      <c r="N34" s="14" t="str">
        <f>IF(ANÁLISIS_EQUIPO[[#This Row],[PESO]]=0,"SIN IMPACTO",IF(G34&lt;=MAX(G$32:G$60)/4,"BAJO",
 IF(G34&lt;=MAX(G$32:G$60)/2,"MEDIO",
 IF(G34&lt;=MAX(G$32:G$60)*3/4,"ALTO","CRITICO"))))</f>
        <v>SIN IMPACTO</v>
      </c>
      <c r="O34" s="85"/>
      <c r="P34" s="112"/>
    </row>
    <row r="35" spans="1:16" x14ac:dyDescent="0.25">
      <c r="A35" s="47" t="s">
        <v>153</v>
      </c>
      <c r="B35" s="47"/>
      <c r="C35" s="35" t="s">
        <v>148</v>
      </c>
      <c r="D35" s="38" t="s">
        <v>136</v>
      </c>
      <c r="E35" s="9" t="s">
        <v>111</v>
      </c>
      <c r="F35" s="75">
        <v>0</v>
      </c>
      <c r="G35" s="30">
        <v>0</v>
      </c>
      <c r="H35" s="82">
        <v>2.5875000000000004</v>
      </c>
      <c r="I35" s="82">
        <v>11.2125</v>
      </c>
      <c r="J35" s="30" t="s">
        <v>142</v>
      </c>
      <c r="K35" s="85"/>
      <c r="L35" s="85"/>
      <c r="M35" s="85"/>
      <c r="N35" s="14" t="str">
        <f>IF(ANÁLISIS_EQUIPO[[#This Row],[PESO]]=0,"SIN IMPACTO",IF(G35&lt;=MAX(G$32:G$60)/4,"BAJO",
 IF(G35&lt;=MAX(G$32:G$60)/2,"MEDIO",
 IF(G35&lt;=MAX(G$32:G$60)*3/4,"ALTO","CRITICO"))))</f>
        <v>SIN IMPACTO</v>
      </c>
      <c r="O35" s="85"/>
      <c r="P35" s="62"/>
    </row>
    <row r="36" spans="1:16" x14ac:dyDescent="0.25">
      <c r="A36" s="47" t="s">
        <v>153</v>
      </c>
      <c r="B36" s="47"/>
      <c r="C36" s="35" t="s">
        <v>148</v>
      </c>
      <c r="D36" s="38" t="s">
        <v>136</v>
      </c>
      <c r="E36" s="9" t="s">
        <v>112</v>
      </c>
      <c r="F36" s="75">
        <v>0</v>
      </c>
      <c r="G36" s="30">
        <v>0</v>
      </c>
      <c r="H36" s="82">
        <v>5.1750000000000007</v>
      </c>
      <c r="I36" s="82">
        <v>22.425000000000001</v>
      </c>
      <c r="J36" s="30" t="s">
        <v>142</v>
      </c>
      <c r="K36" s="85"/>
      <c r="L36" s="85"/>
      <c r="M36" s="85"/>
      <c r="N36" s="14" t="str">
        <f>IF(ANÁLISIS_EQUIPO[[#This Row],[PESO]]=0,"SIN IMPACTO",IF(G36&lt;=MAX(G$32:G$60)/4,"BAJO",
 IF(G36&lt;=MAX(G$32:G$60)/2,"MEDIO",
 IF(G36&lt;=MAX(G$32:G$60)*3/4,"ALTO","CRITICO"))))</f>
        <v>SIN IMPACTO</v>
      </c>
      <c r="O36" s="85"/>
    </row>
    <row r="37" spans="1:16" x14ac:dyDescent="0.25">
      <c r="A37" s="47" t="s">
        <v>153</v>
      </c>
      <c r="B37" s="47"/>
      <c r="C37" s="35" t="s">
        <v>148</v>
      </c>
      <c r="D37" s="38" t="s">
        <v>136</v>
      </c>
      <c r="E37" s="9" t="s">
        <v>113</v>
      </c>
      <c r="F37" s="75">
        <v>0</v>
      </c>
      <c r="G37" s="30">
        <v>0</v>
      </c>
      <c r="H37" s="82">
        <v>5.8218750000000004</v>
      </c>
      <c r="I37" s="82">
        <v>25.228125000000006</v>
      </c>
      <c r="J37" s="30" t="s">
        <v>142</v>
      </c>
      <c r="K37" s="85"/>
      <c r="L37" s="85"/>
      <c r="M37" s="85"/>
      <c r="N37" s="14" t="str">
        <f>IF(ANÁLISIS_EQUIPO[[#This Row],[PESO]]=0,"SIN IMPACTO",IF(G37&lt;=MAX(G$32:G$60)/4,"BAJO",
 IF(G37&lt;=MAX(G$32:G$60)/2,"MEDIO",
 IF(G37&lt;=MAX(G$32:G$60)*3/4,"ALTO","CRITICO"))))</f>
        <v>SIN IMPACTO</v>
      </c>
      <c r="O37" s="85"/>
    </row>
    <row r="38" spans="1:16" x14ac:dyDescent="0.25">
      <c r="A38" s="47" t="s">
        <v>153</v>
      </c>
      <c r="B38" s="47"/>
      <c r="C38" s="35" t="s">
        <v>148</v>
      </c>
      <c r="D38" s="38" t="s">
        <v>136</v>
      </c>
      <c r="E38" s="9" t="s">
        <v>114</v>
      </c>
      <c r="F38" s="75">
        <v>0</v>
      </c>
      <c r="G38" s="30">
        <v>0</v>
      </c>
      <c r="H38" s="82">
        <v>6.46875</v>
      </c>
      <c r="I38" s="82">
        <v>28.03125</v>
      </c>
      <c r="J38" s="30" t="s">
        <v>142</v>
      </c>
      <c r="K38" s="85"/>
      <c r="L38" s="85"/>
      <c r="M38" s="85"/>
      <c r="N38" s="14" t="str">
        <f>IF(ANÁLISIS_EQUIPO[[#This Row],[PESO]]=0,"SIN IMPACTO",IF(G38&lt;=MAX(G$32:G$60)/4,"BAJO",
 IF(G38&lt;=MAX(G$32:G$60)/2,"MEDIO",
 IF(G38&lt;=MAX(G$32:G$60)*3/4,"ALTO","CRITICO"))))</f>
        <v>SIN IMPACTO</v>
      </c>
      <c r="O38" s="85"/>
    </row>
    <row r="39" spans="1:16" x14ac:dyDescent="0.25">
      <c r="A39" s="47" t="s">
        <v>153</v>
      </c>
      <c r="B39" s="47"/>
      <c r="C39" s="35" t="s">
        <v>148</v>
      </c>
      <c r="D39" s="38" t="s">
        <v>136</v>
      </c>
      <c r="E39" s="9" t="s">
        <v>115</v>
      </c>
      <c r="F39" s="75">
        <v>0</v>
      </c>
      <c r="G39" s="30">
        <v>0</v>
      </c>
      <c r="H39" s="82">
        <v>3.234375</v>
      </c>
      <c r="I39" s="82">
        <v>14.015625</v>
      </c>
      <c r="J39" s="30" t="s">
        <v>142</v>
      </c>
      <c r="K39" s="85"/>
      <c r="L39" s="85"/>
      <c r="M39" s="85"/>
      <c r="N39" s="14" t="str">
        <f>IF(ANÁLISIS_EQUIPO[[#This Row],[PESO]]=0,"SIN IMPACTO",IF(G39&lt;=MAX(G$32:G$60)/4,"BAJO",
 IF(G39&lt;=MAX(G$32:G$60)/2,"MEDIO",
 IF(G39&lt;=MAX(G$32:G$60)*3/4,"ALTO","CRITICO"))))</f>
        <v>SIN IMPACTO</v>
      </c>
      <c r="O39" s="85"/>
    </row>
    <row r="40" spans="1:16" x14ac:dyDescent="0.25">
      <c r="A40" s="47" t="s">
        <v>153</v>
      </c>
      <c r="B40" s="47"/>
      <c r="C40" s="35" t="s">
        <v>148</v>
      </c>
      <c r="D40" s="38" t="s">
        <v>136</v>
      </c>
      <c r="E40" s="9" t="s">
        <v>116</v>
      </c>
      <c r="F40" s="75">
        <v>0</v>
      </c>
      <c r="G40" s="30">
        <v>0</v>
      </c>
      <c r="H40" s="82">
        <v>1.2937500000000002</v>
      </c>
      <c r="I40" s="82">
        <v>5.6062500000000002</v>
      </c>
      <c r="J40" s="30" t="s">
        <v>142</v>
      </c>
      <c r="K40" s="85"/>
      <c r="L40" s="85"/>
      <c r="M40" s="85"/>
      <c r="N40" s="14" t="str">
        <f>IF(ANÁLISIS_EQUIPO[[#This Row],[PESO]]=0,"SIN IMPACTO",IF(G40&lt;=MAX(G$32:G$60)/4,"BAJO",
 IF(G40&lt;=MAX(G$32:G$60)/2,"MEDIO",
 IF(G40&lt;=MAX(G$32:G$60)*3/4,"ALTO","CRITICO"))))</f>
        <v>SIN IMPACTO</v>
      </c>
      <c r="O40" s="85"/>
    </row>
    <row r="41" spans="1:16" x14ac:dyDescent="0.25">
      <c r="A41" s="47" t="s">
        <v>153</v>
      </c>
      <c r="B41" s="47"/>
      <c r="C41" s="35" t="s">
        <v>148</v>
      </c>
      <c r="D41" s="38" t="s">
        <v>136</v>
      </c>
      <c r="E41" s="9" t="s">
        <v>117</v>
      </c>
      <c r="F41" s="75">
        <v>0</v>
      </c>
      <c r="G41" s="30">
        <v>0</v>
      </c>
      <c r="H41" s="82">
        <v>2.5875000000000004</v>
      </c>
      <c r="I41" s="82">
        <v>11.2125</v>
      </c>
      <c r="J41" s="30" t="s">
        <v>142</v>
      </c>
      <c r="K41" s="85"/>
      <c r="L41" s="85"/>
      <c r="M41" s="85"/>
      <c r="N41" s="14" t="str">
        <f>IF(ANÁLISIS_EQUIPO[[#This Row],[PESO]]=0,"SIN IMPACTO",IF(G41&lt;=MAX(G$32:G$60)/4,"BAJO",
 IF(G41&lt;=MAX(G$32:G$60)/2,"MEDIO",
 IF(G41&lt;=MAX(G$32:G$60)*3/4,"ALTO","CRITICO"))))</f>
        <v>SIN IMPACTO</v>
      </c>
      <c r="O41" s="85"/>
    </row>
    <row r="42" spans="1:16" x14ac:dyDescent="0.25">
      <c r="A42" s="47" t="s">
        <v>153</v>
      </c>
      <c r="B42" s="47"/>
      <c r="C42" s="36" t="s">
        <v>62</v>
      </c>
      <c r="D42" s="45" t="s">
        <v>136</v>
      </c>
      <c r="E42" s="5" t="s">
        <v>118</v>
      </c>
      <c r="F42" s="75">
        <v>0</v>
      </c>
      <c r="G42" s="30">
        <v>0</v>
      </c>
      <c r="H42" s="82">
        <v>1.2937500000000002</v>
      </c>
      <c r="I42" s="82">
        <v>5.6062500000000002</v>
      </c>
      <c r="J42" s="30" t="s">
        <v>142</v>
      </c>
      <c r="K42" s="85"/>
      <c r="L42" s="85"/>
      <c r="M42" s="85"/>
      <c r="N42" s="14" t="str">
        <f>IF(ANÁLISIS_EQUIPO[[#This Row],[PESO]]=0,"SIN IMPACTO",IF(G42&lt;=MAX(G$32:G$60)/4,"BAJO",
 IF(G42&lt;=MAX(G$32:G$60)/2,"MEDIO",
 IF(G42&lt;=MAX(G$32:G$60)*3/4,"ALTO","CRITICO"))))</f>
        <v>SIN IMPACTO</v>
      </c>
      <c r="O42" s="85"/>
    </row>
    <row r="43" spans="1:16" x14ac:dyDescent="0.25">
      <c r="A43" s="47" t="s">
        <v>153</v>
      </c>
      <c r="B43" s="47"/>
      <c r="C43" s="36" t="s">
        <v>62</v>
      </c>
      <c r="D43" s="45" t="s">
        <v>136</v>
      </c>
      <c r="E43" s="5" t="s">
        <v>24</v>
      </c>
      <c r="F43" s="75">
        <v>0</v>
      </c>
      <c r="G43" s="30">
        <v>0</v>
      </c>
      <c r="H43" s="82">
        <v>0.64687500000000009</v>
      </c>
      <c r="I43" s="82">
        <v>2.8031250000000001</v>
      </c>
      <c r="J43" s="30" t="s">
        <v>142</v>
      </c>
      <c r="K43" s="85"/>
      <c r="L43" s="85"/>
      <c r="M43" s="85"/>
      <c r="N43" s="14" t="str">
        <f>IF(ANÁLISIS_EQUIPO[[#This Row],[PESO]]=0,"SIN IMPACTO",IF(G43&lt;=MAX(G$32:G$60)/4,"BAJO",
 IF(G43&lt;=MAX(G$32:G$60)/2,"MEDIO",
 IF(G43&lt;=MAX(G$32:G$60)*3/4,"ALTO","CRITICO"))))</f>
        <v>SIN IMPACTO</v>
      </c>
      <c r="O43" s="85"/>
    </row>
    <row r="44" spans="1:16" x14ac:dyDescent="0.25">
      <c r="A44" s="47" t="s">
        <v>153</v>
      </c>
      <c r="B44" s="47"/>
      <c r="C44" s="36" t="s">
        <v>62</v>
      </c>
      <c r="D44" s="45" t="s">
        <v>136</v>
      </c>
      <c r="E44" s="5" t="s">
        <v>25</v>
      </c>
      <c r="F44" s="75">
        <v>0</v>
      </c>
      <c r="G44" s="30">
        <v>0</v>
      </c>
      <c r="H44" s="82">
        <v>0</v>
      </c>
      <c r="I44" s="82">
        <v>0</v>
      </c>
      <c r="J44" s="30" t="s">
        <v>142</v>
      </c>
      <c r="K44" s="85"/>
      <c r="L44" s="85"/>
      <c r="M44" s="85"/>
      <c r="N44" s="14" t="str">
        <f>IF(ANÁLISIS_EQUIPO[[#This Row],[PESO]]=0,"SIN IMPACTO",IF(G44&lt;=MAX(G$32:G$60)/4,"BAJO",
 IF(G44&lt;=MAX(G$32:G$60)/2,"MEDIO",
 IF(G44&lt;=MAX(G$32:G$60)*3/4,"ALTO","CRITICO"))))</f>
        <v>SIN IMPACTO</v>
      </c>
      <c r="O44" s="85"/>
    </row>
    <row r="45" spans="1:16" x14ac:dyDescent="0.25">
      <c r="A45" s="47" t="s">
        <v>153</v>
      </c>
      <c r="B45" s="47"/>
      <c r="C45" s="36" t="s">
        <v>62</v>
      </c>
      <c r="D45" s="45" t="s">
        <v>136</v>
      </c>
      <c r="E45" s="5" t="s">
        <v>26</v>
      </c>
      <c r="F45" s="75">
        <v>0</v>
      </c>
      <c r="G45" s="30">
        <v>0</v>
      </c>
      <c r="H45" s="82">
        <v>0.64687500000000009</v>
      </c>
      <c r="I45" s="82">
        <v>2.8031250000000001</v>
      </c>
      <c r="J45" s="30" t="s">
        <v>142</v>
      </c>
      <c r="K45" s="85"/>
      <c r="L45" s="85"/>
      <c r="M45" s="85"/>
      <c r="N45" s="14" t="str">
        <f>IF(ANÁLISIS_EQUIPO[[#This Row],[PESO]]=0,"SIN IMPACTO",IF(G45&lt;=MAX(G$32:G$60)/4,"BAJO",
 IF(G45&lt;=MAX(G$32:G$60)/2,"MEDIO",
 IF(G45&lt;=MAX(G$32:G$60)*3/4,"ALTO","CRITICO"))))</f>
        <v>SIN IMPACTO</v>
      </c>
      <c r="O45" s="85"/>
    </row>
    <row r="46" spans="1:16" x14ac:dyDescent="0.25">
      <c r="A46" s="47" t="s">
        <v>153</v>
      </c>
      <c r="B46" s="47"/>
      <c r="C46" s="36" t="s">
        <v>62</v>
      </c>
      <c r="D46" s="45" t="s">
        <v>136</v>
      </c>
      <c r="E46" s="5" t="s">
        <v>27</v>
      </c>
      <c r="F46" s="75">
        <v>0</v>
      </c>
      <c r="G46" s="30">
        <v>0</v>
      </c>
      <c r="H46" s="82">
        <v>0</v>
      </c>
      <c r="I46" s="82">
        <v>0</v>
      </c>
      <c r="J46" s="30" t="s">
        <v>142</v>
      </c>
      <c r="K46" s="85"/>
      <c r="L46" s="85"/>
      <c r="M46" s="85"/>
      <c r="N46" s="14" t="str">
        <f>IF(ANÁLISIS_EQUIPO[[#This Row],[PESO]]=0,"SIN IMPACTO",IF(G46&lt;=MAX(G$32:G$60)/4,"BAJO",
 IF(G46&lt;=MAX(G$32:G$60)/2,"MEDIO",
 IF(G46&lt;=MAX(G$32:G$60)*3/4,"ALTO","CRITICO"))))</f>
        <v>SIN IMPACTO</v>
      </c>
      <c r="O46" s="85"/>
    </row>
    <row r="47" spans="1:16" x14ac:dyDescent="0.25">
      <c r="A47" s="47" t="s">
        <v>153</v>
      </c>
      <c r="B47" s="47"/>
      <c r="C47" s="36" t="s">
        <v>62</v>
      </c>
      <c r="D47" s="45" t="s">
        <v>136</v>
      </c>
      <c r="E47" s="5" t="s">
        <v>28</v>
      </c>
      <c r="F47" s="75">
        <v>0</v>
      </c>
      <c r="G47" s="30">
        <v>0</v>
      </c>
      <c r="H47" s="82">
        <v>1.9406250000000003</v>
      </c>
      <c r="I47" s="82">
        <v>8.4093750000000007</v>
      </c>
      <c r="J47" s="30" t="s">
        <v>142</v>
      </c>
      <c r="K47" s="85"/>
      <c r="L47" s="85"/>
      <c r="M47" s="85"/>
      <c r="N47" s="14" t="str">
        <f>IF(ANÁLISIS_EQUIPO[[#This Row],[PESO]]=0,"SIN IMPACTO",IF(G47&lt;=MAX(G$32:G$60)/4,"BAJO",
 IF(G47&lt;=MAX(G$32:G$60)/2,"MEDIO",
 IF(G47&lt;=MAX(G$32:G$60)*3/4,"ALTO","CRITICO"))))</f>
        <v>SIN IMPACTO</v>
      </c>
      <c r="O47" s="85"/>
    </row>
    <row r="48" spans="1:16" x14ac:dyDescent="0.25">
      <c r="A48" s="47" t="s">
        <v>153</v>
      </c>
      <c r="B48" s="47"/>
      <c r="C48" s="36" t="s">
        <v>62</v>
      </c>
      <c r="D48" s="45" t="s">
        <v>136</v>
      </c>
      <c r="E48" s="5" t="s">
        <v>119</v>
      </c>
      <c r="F48" s="75">
        <v>0</v>
      </c>
      <c r="G48" s="30">
        <v>0</v>
      </c>
      <c r="H48" s="82">
        <v>1.9406250000000003</v>
      </c>
      <c r="I48" s="82">
        <v>8.4093750000000007</v>
      </c>
      <c r="J48" s="30" t="s">
        <v>142</v>
      </c>
      <c r="K48" s="85"/>
      <c r="L48" s="85"/>
      <c r="M48" s="85"/>
      <c r="N48" s="14" t="str">
        <f>IF(ANÁLISIS_EQUIPO[[#This Row],[PESO]]=0,"SIN IMPACTO",IF(G48&lt;=MAX(G$32:G$60)/4,"BAJO",
 IF(G48&lt;=MAX(G$32:G$60)/2,"MEDIO",
 IF(G48&lt;=MAX(G$32:G$60)*3/4,"ALTO","CRITICO"))))</f>
        <v>SIN IMPACTO</v>
      </c>
      <c r="O48" s="85"/>
    </row>
    <row r="49" spans="1:15" x14ac:dyDescent="0.25">
      <c r="A49" s="47" t="s">
        <v>153</v>
      </c>
      <c r="B49" s="47"/>
      <c r="C49" s="36" t="s">
        <v>62</v>
      </c>
      <c r="D49" s="45" t="s">
        <v>136</v>
      </c>
      <c r="E49" s="5" t="s">
        <v>120</v>
      </c>
      <c r="F49" s="75">
        <v>0</v>
      </c>
      <c r="G49" s="30">
        <v>0</v>
      </c>
      <c r="H49" s="82">
        <v>0</v>
      </c>
      <c r="I49" s="82">
        <v>0</v>
      </c>
      <c r="J49" s="30" t="s">
        <v>142</v>
      </c>
      <c r="K49" s="85"/>
      <c r="L49" s="85"/>
      <c r="M49" s="85"/>
      <c r="N49" s="14" t="str">
        <f>IF(ANÁLISIS_EQUIPO[[#This Row],[PESO]]=0,"SIN IMPACTO",IF(G49&lt;=MAX(G$32:G$60)/4,"BAJO",
 IF(G49&lt;=MAX(G$32:G$60)/2,"MEDIO",
 IF(G49&lt;=MAX(G$32:G$60)*3/4,"ALTO","CRITICO"))))</f>
        <v>SIN IMPACTO</v>
      </c>
      <c r="O49" s="85"/>
    </row>
    <row r="50" spans="1:15" x14ac:dyDescent="0.25">
      <c r="A50" s="47" t="s">
        <v>153</v>
      </c>
      <c r="B50" s="47"/>
      <c r="C50" s="36" t="s">
        <v>62</v>
      </c>
      <c r="D50" s="45" t="s">
        <v>136</v>
      </c>
      <c r="E50" s="5" t="s">
        <v>121</v>
      </c>
      <c r="F50" s="75">
        <v>0</v>
      </c>
      <c r="G50" s="30">
        <v>0</v>
      </c>
      <c r="H50" s="82">
        <v>0</v>
      </c>
      <c r="I50" s="82">
        <v>0</v>
      </c>
      <c r="J50" s="30" t="s">
        <v>142</v>
      </c>
      <c r="K50" s="85"/>
      <c r="L50" s="85"/>
      <c r="M50" s="85"/>
      <c r="N50" s="14" t="str">
        <f>IF(ANÁLISIS_EQUIPO[[#This Row],[PESO]]=0,"SIN IMPACTO",IF(G50&lt;=MAX(G$32:G$60)/4,"BAJO",
 IF(G50&lt;=MAX(G$32:G$60)/2,"MEDIO",
 IF(G50&lt;=MAX(G$32:G$60)*3/4,"ALTO","CRITICO"))))</f>
        <v>SIN IMPACTO</v>
      </c>
      <c r="O50" s="85"/>
    </row>
    <row r="51" spans="1:15" x14ac:dyDescent="0.25">
      <c r="A51" s="47" t="s">
        <v>153</v>
      </c>
      <c r="B51" s="47"/>
      <c r="C51" s="36" t="s">
        <v>62</v>
      </c>
      <c r="D51" s="45" t="s">
        <v>136</v>
      </c>
      <c r="E51" s="5" t="s">
        <v>122</v>
      </c>
      <c r="F51" s="75">
        <v>0</v>
      </c>
      <c r="G51" s="30">
        <v>0</v>
      </c>
      <c r="H51" s="82">
        <v>0</v>
      </c>
      <c r="I51" s="82">
        <v>0</v>
      </c>
      <c r="J51" s="30" t="s">
        <v>142</v>
      </c>
      <c r="K51" s="85"/>
      <c r="L51" s="85"/>
      <c r="M51" s="85"/>
      <c r="N51" s="14" t="str">
        <f>IF(ANÁLISIS_EQUIPO[[#This Row],[PESO]]=0,"SIN IMPACTO",IF(G51&lt;=MAX(G$32:G$60)/4,"BAJO",
 IF(G51&lt;=MAX(G$32:G$60)/2,"MEDIO",
 IF(G51&lt;=MAX(G$32:G$60)*3/4,"ALTO","CRITICO"))))</f>
        <v>SIN IMPACTO</v>
      </c>
      <c r="O51" s="85"/>
    </row>
    <row r="52" spans="1:15" x14ac:dyDescent="0.25">
      <c r="A52" s="47" t="s">
        <v>153</v>
      </c>
      <c r="B52" s="47"/>
      <c r="C52" s="48" t="s">
        <v>150</v>
      </c>
      <c r="D52" s="46" t="s">
        <v>136</v>
      </c>
      <c r="E52" s="10" t="s">
        <v>123</v>
      </c>
      <c r="F52" s="75">
        <v>0</v>
      </c>
      <c r="G52" s="30">
        <v>0</v>
      </c>
      <c r="H52" s="82">
        <v>2.5875000000000004</v>
      </c>
      <c r="I52" s="82">
        <v>11.2125</v>
      </c>
      <c r="J52" s="30" t="s">
        <v>142</v>
      </c>
      <c r="K52" s="85"/>
      <c r="L52" s="85"/>
      <c r="M52" s="85"/>
      <c r="N52" s="14" t="str">
        <f>IF(ANÁLISIS_EQUIPO[[#This Row],[PESO]]=0,"SIN IMPACTO",IF(G52&lt;=MAX(G$32:G$60)/4,"BAJO",
 IF(G52&lt;=MAX(G$32:G$60)/2,"MEDIO",
 IF(G52&lt;=MAX(G$32:G$60)*3/4,"ALTO","CRITICO"))))</f>
        <v>SIN IMPACTO</v>
      </c>
      <c r="O52" s="85"/>
    </row>
    <row r="53" spans="1:15" x14ac:dyDescent="0.25">
      <c r="A53" s="47" t="s">
        <v>153</v>
      </c>
      <c r="B53" s="47"/>
      <c r="C53" s="48" t="s">
        <v>150</v>
      </c>
      <c r="D53" s="46" t="s">
        <v>136</v>
      </c>
      <c r="E53" s="10" t="s">
        <v>124</v>
      </c>
      <c r="F53" s="75">
        <v>0</v>
      </c>
      <c r="G53" s="30">
        <v>0</v>
      </c>
      <c r="H53" s="82">
        <v>0.64687500000000009</v>
      </c>
      <c r="I53" s="82">
        <v>2.8031250000000001</v>
      </c>
      <c r="J53" s="30" t="s">
        <v>142</v>
      </c>
      <c r="K53" s="85"/>
      <c r="L53" s="85"/>
      <c r="M53" s="85"/>
      <c r="N53" s="14" t="str">
        <f>IF(ANÁLISIS_EQUIPO[[#This Row],[PESO]]=0,"SIN IMPACTO",IF(G53&lt;=MAX(G$32:G$60)/4,"BAJO",
 IF(G53&lt;=MAX(G$32:G$60)/2,"MEDIO",
 IF(G53&lt;=MAX(G$32:G$60)*3/4,"ALTO","CRITICO"))))</f>
        <v>SIN IMPACTO</v>
      </c>
      <c r="O53" s="85"/>
    </row>
    <row r="54" spans="1:15" x14ac:dyDescent="0.25">
      <c r="A54" s="47" t="s">
        <v>153</v>
      </c>
      <c r="B54" s="47"/>
      <c r="C54" s="48" t="s">
        <v>150</v>
      </c>
      <c r="D54" s="46" t="s">
        <v>136</v>
      </c>
      <c r="E54" s="10" t="s">
        <v>125</v>
      </c>
      <c r="F54" s="75">
        <v>0</v>
      </c>
      <c r="G54" s="30">
        <v>0</v>
      </c>
      <c r="H54" s="82">
        <v>0</v>
      </c>
      <c r="I54" s="82">
        <v>0</v>
      </c>
      <c r="J54" s="30" t="s">
        <v>142</v>
      </c>
      <c r="K54" s="85"/>
      <c r="L54" s="85"/>
      <c r="M54" s="85"/>
      <c r="N54" s="14" t="str">
        <f>IF(ANÁLISIS_EQUIPO[[#This Row],[PESO]]=0,"SIN IMPACTO",IF(G54&lt;=MAX(G$32:G$60)/4,"BAJO",
 IF(G54&lt;=MAX(G$32:G$60)/2,"MEDIO",
 IF(G54&lt;=MAX(G$32:G$60)*3/4,"ALTO","CRITICO"))))</f>
        <v>SIN IMPACTO</v>
      </c>
      <c r="O54" s="85"/>
    </row>
    <row r="55" spans="1:15" x14ac:dyDescent="0.25">
      <c r="A55" s="47" t="s">
        <v>153</v>
      </c>
      <c r="B55" s="47"/>
      <c r="C55" s="48" t="s">
        <v>150</v>
      </c>
      <c r="D55" s="46" t="s">
        <v>136</v>
      </c>
      <c r="E55" s="10" t="s">
        <v>126</v>
      </c>
      <c r="F55" s="75">
        <v>0</v>
      </c>
      <c r="G55" s="30">
        <v>0</v>
      </c>
      <c r="H55" s="82">
        <v>0</v>
      </c>
      <c r="I55" s="82">
        <v>0</v>
      </c>
      <c r="J55" s="30" t="s">
        <v>142</v>
      </c>
      <c r="K55" s="85"/>
      <c r="L55" s="85"/>
      <c r="M55" s="85"/>
      <c r="N55" s="14" t="str">
        <f>IF(ANÁLISIS_EQUIPO[[#This Row],[PESO]]=0,"SIN IMPACTO",IF(G55&lt;=MAX(G$32:G$60)/4,"BAJO",
 IF(G55&lt;=MAX(G$32:G$60)/2,"MEDIO",
 IF(G55&lt;=MAX(G$32:G$60)*3/4,"ALTO","CRITICO"))))</f>
        <v>SIN IMPACTO</v>
      </c>
      <c r="O55" s="85"/>
    </row>
    <row r="56" spans="1:15" x14ac:dyDescent="0.25">
      <c r="A56" s="47" t="s">
        <v>153</v>
      </c>
      <c r="B56" s="47"/>
      <c r="C56" s="48" t="s">
        <v>150</v>
      </c>
      <c r="D56" s="46" t="s">
        <v>136</v>
      </c>
      <c r="E56" s="10" t="s">
        <v>127</v>
      </c>
      <c r="F56" s="75">
        <v>0</v>
      </c>
      <c r="G56" s="30">
        <v>0</v>
      </c>
      <c r="H56" s="82">
        <v>0</v>
      </c>
      <c r="I56" s="82">
        <v>0</v>
      </c>
      <c r="J56" s="30" t="s">
        <v>142</v>
      </c>
      <c r="K56" s="85"/>
      <c r="L56" s="85"/>
      <c r="M56" s="85"/>
      <c r="N56" s="14" t="str">
        <f>IF(ANÁLISIS_EQUIPO[[#This Row],[PESO]]=0,"SIN IMPACTO",IF(G56&lt;=MAX(G$32:G$60)/4,"BAJO",
 IF(G56&lt;=MAX(G$32:G$60)/2,"MEDIO",
 IF(G56&lt;=MAX(G$32:G$60)*3/4,"ALTO","CRITICO"))))</f>
        <v>SIN IMPACTO</v>
      </c>
      <c r="O56" s="85"/>
    </row>
    <row r="57" spans="1:15" x14ac:dyDescent="0.25">
      <c r="A57" s="47" t="s">
        <v>153</v>
      </c>
      <c r="B57" s="47"/>
      <c r="C57" s="48" t="s">
        <v>150</v>
      </c>
      <c r="D57" s="46" t="s">
        <v>136</v>
      </c>
      <c r="E57" s="10" t="s">
        <v>30</v>
      </c>
      <c r="F57" s="75">
        <v>0</v>
      </c>
      <c r="G57" s="30">
        <v>0</v>
      </c>
      <c r="H57" s="82">
        <v>0</v>
      </c>
      <c r="I57" s="82">
        <v>0</v>
      </c>
      <c r="J57" s="30" t="s">
        <v>142</v>
      </c>
      <c r="K57" s="85"/>
      <c r="L57" s="85"/>
      <c r="M57" s="85"/>
      <c r="N57" s="14" t="str">
        <f>IF(ANÁLISIS_EQUIPO[[#This Row],[PESO]]=0,"SIN IMPACTO",IF(G57&lt;=MAX(G$32:G$60)/4,"BAJO",
 IF(G57&lt;=MAX(G$32:G$60)/2,"MEDIO",
 IF(G57&lt;=MAX(G$32:G$60)*3/4,"ALTO","CRITICO"))))</f>
        <v>SIN IMPACTO</v>
      </c>
      <c r="O57" s="85"/>
    </row>
    <row r="58" spans="1:15" x14ac:dyDescent="0.25">
      <c r="A58" s="47" t="s">
        <v>153</v>
      </c>
      <c r="B58" s="47"/>
      <c r="C58" s="36" t="s">
        <v>149</v>
      </c>
      <c r="D58" s="45" t="s">
        <v>136</v>
      </c>
      <c r="E58" s="5" t="s">
        <v>128</v>
      </c>
      <c r="F58" s="75">
        <v>0</v>
      </c>
      <c r="G58" s="30">
        <v>0</v>
      </c>
      <c r="H58" s="82">
        <v>0</v>
      </c>
      <c r="I58" s="82">
        <v>0</v>
      </c>
      <c r="J58" s="30" t="s">
        <v>142</v>
      </c>
      <c r="K58" s="85"/>
      <c r="L58" s="85"/>
      <c r="M58" s="85"/>
      <c r="N58" s="14" t="str">
        <f>IF(ANÁLISIS_EQUIPO[[#This Row],[PESO]]=0,"SIN IMPACTO",IF(G58&lt;=MAX(G$32:G$60)/4,"BAJO",
 IF(G58&lt;=MAX(G$32:G$60)/2,"MEDIO",
 IF(G58&lt;=MAX(G$32:G$60)*3/4,"ALTO","CRITICO"))))</f>
        <v>SIN IMPACTO</v>
      </c>
      <c r="O58" s="85"/>
    </row>
    <row r="59" spans="1:15" x14ac:dyDescent="0.25">
      <c r="A59" s="47" t="s">
        <v>153</v>
      </c>
      <c r="B59" s="47"/>
      <c r="C59" s="36" t="s">
        <v>149</v>
      </c>
      <c r="D59" s="45" t="s">
        <v>136</v>
      </c>
      <c r="E59" s="5" t="s">
        <v>129</v>
      </c>
      <c r="F59" s="75">
        <v>0</v>
      </c>
      <c r="G59" s="30">
        <v>0</v>
      </c>
      <c r="H59" s="82">
        <v>0</v>
      </c>
      <c r="I59" s="82">
        <v>0</v>
      </c>
      <c r="J59" s="30" t="s">
        <v>142</v>
      </c>
      <c r="K59" s="85"/>
      <c r="L59" s="85"/>
      <c r="M59" s="85"/>
      <c r="N59" s="14" t="str">
        <f>IF(ANÁLISIS_EQUIPO[[#This Row],[PESO]]=0,"SIN IMPACTO",IF(G59&lt;=MAX(G$32:G$60)/4,"BAJO",
 IF(G59&lt;=MAX(G$32:G$60)/2,"MEDIO",
 IF(G59&lt;=MAX(G$32:G$60)*3/4,"ALTO","CRITICO"))))</f>
        <v>SIN IMPACTO</v>
      </c>
      <c r="O59" s="85"/>
    </row>
    <row r="60" spans="1:15" x14ac:dyDescent="0.25">
      <c r="A60" s="47" t="s">
        <v>153</v>
      </c>
      <c r="B60" s="47"/>
      <c r="C60" s="36" t="s">
        <v>149</v>
      </c>
      <c r="D60" s="45" t="s">
        <v>136</v>
      </c>
      <c r="E60" s="5" t="s">
        <v>31</v>
      </c>
      <c r="F60" s="75">
        <v>0</v>
      </c>
      <c r="G60" s="30">
        <v>0</v>
      </c>
      <c r="H60" s="82">
        <v>0.64687500000000009</v>
      </c>
      <c r="I60" s="82">
        <v>2.8031250000000001</v>
      </c>
      <c r="J60" s="30" t="s">
        <v>142</v>
      </c>
      <c r="K60" s="85"/>
      <c r="L60" s="85"/>
      <c r="M60" s="85"/>
      <c r="N60" s="14" t="str">
        <f>IF(ANÁLISIS_EQUIPO[[#This Row],[PESO]]=0,"SIN IMPACTO",IF(G60&lt;=MAX(G$32:G$60)/4,"BAJO",
 IF(G60&lt;=MAX(G$32:G$60)/2,"MEDIO",
 IF(G60&lt;=MAX(G$32:G$60)*3/4,"ALTO","CRITICO"))))</f>
        <v>SIN IMPACTO</v>
      </c>
      <c r="O60" s="85"/>
    </row>
    <row r="61" spans="1:15" hidden="1" x14ac:dyDescent="0.25">
      <c r="A61" s="39" t="s">
        <v>153</v>
      </c>
      <c r="B61" s="41"/>
      <c r="C61" s="42" t="s">
        <v>45</v>
      </c>
      <c r="D61" s="39" t="s">
        <v>181</v>
      </c>
      <c r="E61" s="42" t="s">
        <v>45</v>
      </c>
      <c r="F61" s="79">
        <v>17.25</v>
      </c>
      <c r="G61" s="44">
        <v>1</v>
      </c>
      <c r="H61" s="83">
        <v>46.575000000000003</v>
      </c>
      <c r="I61" s="83">
        <v>201.82499999999999</v>
      </c>
      <c r="J61" s="30" t="s">
        <v>142</v>
      </c>
      <c r="K61" s="85"/>
      <c r="L61" s="85"/>
      <c r="M61" s="85"/>
      <c r="N61" s="90"/>
      <c r="O61" s="91"/>
    </row>
    <row r="62" spans="1:15" x14ac:dyDescent="0.25">
      <c r="A62" s="47" t="s">
        <v>153</v>
      </c>
      <c r="B62" s="47"/>
      <c r="C62" s="35" t="s">
        <v>148</v>
      </c>
      <c r="D62" s="38" t="s">
        <v>137</v>
      </c>
      <c r="E62" s="9" t="s">
        <v>108</v>
      </c>
      <c r="F62" s="75">
        <v>0</v>
      </c>
      <c r="G62" s="30">
        <v>0</v>
      </c>
      <c r="H62" s="82">
        <v>1.9406250000000003</v>
      </c>
      <c r="I62" s="82">
        <v>6.4687500000000009</v>
      </c>
      <c r="J62" s="30" t="s">
        <v>142</v>
      </c>
      <c r="K62" s="85"/>
      <c r="L62" s="85"/>
      <c r="M62" s="85"/>
      <c r="N62" s="14" t="str">
        <f>IF(ANÁLISIS_EQUIPO[[#This Row],[PESO]]=0,"SIN IMPACTO",IF(G62&lt;=MAX(G$62:G$90)/4,"BAJO",
 IF(G62&lt;=MAX(G$62:G$90)/2,"MEDIO",
 IF(G62&lt;=MAX(G$62:G$90)*3/4,"ALTO","CRITICO"))))</f>
        <v>SIN IMPACTO</v>
      </c>
      <c r="O62" s="85"/>
    </row>
    <row r="63" spans="1:15" x14ac:dyDescent="0.25">
      <c r="A63" s="47" t="s">
        <v>153</v>
      </c>
      <c r="B63" s="47"/>
      <c r="C63" s="35" t="s">
        <v>148</v>
      </c>
      <c r="D63" s="38" t="s">
        <v>137</v>
      </c>
      <c r="E63" s="9" t="s">
        <v>109</v>
      </c>
      <c r="F63" s="75">
        <v>0</v>
      </c>
      <c r="G63" s="30">
        <v>0</v>
      </c>
      <c r="H63" s="82">
        <v>4.5281250000000002</v>
      </c>
      <c r="I63" s="82">
        <v>15.093750000000002</v>
      </c>
      <c r="J63" s="30" t="s">
        <v>142</v>
      </c>
      <c r="K63" s="85"/>
      <c r="L63" s="85"/>
      <c r="M63" s="85"/>
      <c r="N63" s="14" t="str">
        <f>IF(ANÁLISIS_EQUIPO[[#This Row],[PESO]]=0,"SIN IMPACTO",IF(G63&lt;=MAX(G$62:G$90)/4,"BAJO",
 IF(G63&lt;=MAX(G$62:G$90)/2,"MEDIO",
 IF(G63&lt;=MAX(G$62:G$90)*3/4,"ALTO","CRITICO"))))</f>
        <v>SIN IMPACTO</v>
      </c>
      <c r="O63" s="85"/>
    </row>
    <row r="64" spans="1:15" x14ac:dyDescent="0.25">
      <c r="A64" s="47" t="s">
        <v>153</v>
      </c>
      <c r="B64" s="47"/>
      <c r="C64" s="35" t="s">
        <v>148</v>
      </c>
      <c r="D64" s="38" t="s">
        <v>137</v>
      </c>
      <c r="E64" s="9" t="s">
        <v>110</v>
      </c>
      <c r="F64" s="75">
        <v>0</v>
      </c>
      <c r="G64" s="30">
        <v>0</v>
      </c>
      <c r="H64" s="82">
        <v>2.5875000000000004</v>
      </c>
      <c r="I64" s="82">
        <v>8.625</v>
      </c>
      <c r="J64" s="30" t="s">
        <v>142</v>
      </c>
      <c r="K64" s="85"/>
      <c r="L64" s="85"/>
      <c r="M64" s="85"/>
      <c r="N64" s="14" t="str">
        <f>IF(ANÁLISIS_EQUIPO[[#This Row],[PESO]]=0,"SIN IMPACTO",IF(G64&lt;=MAX(G$62:G$90)/4,"BAJO",
 IF(G64&lt;=MAX(G$62:G$90)/2,"MEDIO",
 IF(G64&lt;=MAX(G$62:G$90)*3/4,"ALTO","CRITICO"))))</f>
        <v>SIN IMPACTO</v>
      </c>
      <c r="O64" s="85"/>
    </row>
    <row r="65" spans="1:15" x14ac:dyDescent="0.25">
      <c r="A65" s="47" t="s">
        <v>153</v>
      </c>
      <c r="B65" s="47"/>
      <c r="C65" s="35" t="s">
        <v>148</v>
      </c>
      <c r="D65" s="38" t="s">
        <v>137</v>
      </c>
      <c r="E65" s="9" t="s">
        <v>111</v>
      </c>
      <c r="F65" s="75">
        <v>0</v>
      </c>
      <c r="G65" s="30">
        <v>0</v>
      </c>
      <c r="H65" s="82">
        <v>2.5875000000000004</v>
      </c>
      <c r="I65" s="82">
        <v>8.625</v>
      </c>
      <c r="J65" s="30" t="s">
        <v>142</v>
      </c>
      <c r="K65" s="85"/>
      <c r="L65" s="85"/>
      <c r="M65" s="85"/>
      <c r="N65" s="14" t="str">
        <f>IF(ANÁLISIS_EQUIPO[[#This Row],[PESO]]=0,"SIN IMPACTO",IF(G65&lt;=MAX(G$62:G$90)/4,"BAJO",
 IF(G65&lt;=MAX(G$62:G$90)/2,"MEDIO",
 IF(G65&lt;=MAX(G$62:G$90)*3/4,"ALTO","CRITICO"))))</f>
        <v>SIN IMPACTO</v>
      </c>
      <c r="O65" s="85"/>
    </row>
    <row r="66" spans="1:15" x14ac:dyDescent="0.25">
      <c r="A66" s="47" t="s">
        <v>153</v>
      </c>
      <c r="B66" s="47"/>
      <c r="C66" s="35" t="s">
        <v>148</v>
      </c>
      <c r="D66" s="38" t="s">
        <v>137</v>
      </c>
      <c r="E66" s="9" t="s">
        <v>112</v>
      </c>
      <c r="F66" s="75">
        <v>0</v>
      </c>
      <c r="G66" s="30">
        <v>0</v>
      </c>
      <c r="H66" s="82">
        <v>5.1750000000000007</v>
      </c>
      <c r="I66" s="82">
        <v>17.25</v>
      </c>
      <c r="J66" s="30" t="s">
        <v>142</v>
      </c>
      <c r="K66" s="85"/>
      <c r="L66" s="85"/>
      <c r="M66" s="85"/>
      <c r="N66" s="14" t="str">
        <f>IF(ANÁLISIS_EQUIPO[[#This Row],[PESO]]=0,"SIN IMPACTO",IF(G66&lt;=MAX(G$62:G$90)/4,"BAJO",
 IF(G66&lt;=MAX(G$62:G$90)/2,"MEDIO",
 IF(G66&lt;=MAX(G$62:G$90)*3/4,"ALTO","CRITICO"))))</f>
        <v>SIN IMPACTO</v>
      </c>
      <c r="O66" s="85"/>
    </row>
    <row r="67" spans="1:15" x14ac:dyDescent="0.25">
      <c r="A67" s="47" t="s">
        <v>153</v>
      </c>
      <c r="B67" s="47"/>
      <c r="C67" s="35" t="s">
        <v>148</v>
      </c>
      <c r="D67" s="38" t="s">
        <v>137</v>
      </c>
      <c r="E67" s="9" t="s">
        <v>113</v>
      </c>
      <c r="F67" s="75">
        <v>0</v>
      </c>
      <c r="G67" s="30">
        <v>0</v>
      </c>
      <c r="H67" s="82">
        <v>5.8218750000000004</v>
      </c>
      <c r="I67" s="82">
        <v>19.406250000000004</v>
      </c>
      <c r="J67" s="30" t="s">
        <v>142</v>
      </c>
      <c r="K67" s="85"/>
      <c r="L67" s="85"/>
      <c r="M67" s="85"/>
      <c r="N67" s="14" t="str">
        <f>IF(ANÁLISIS_EQUIPO[[#This Row],[PESO]]=0,"SIN IMPACTO",IF(G67&lt;=MAX(G$62:G$90)/4,"BAJO",
 IF(G67&lt;=MAX(G$62:G$90)/2,"MEDIO",
 IF(G67&lt;=MAX(G$62:G$90)*3/4,"ALTO","CRITICO"))))</f>
        <v>SIN IMPACTO</v>
      </c>
      <c r="O67" s="85"/>
    </row>
    <row r="68" spans="1:15" x14ac:dyDescent="0.25">
      <c r="A68" s="47" t="s">
        <v>153</v>
      </c>
      <c r="B68" s="47"/>
      <c r="C68" s="35" t="s">
        <v>148</v>
      </c>
      <c r="D68" s="38" t="s">
        <v>137</v>
      </c>
      <c r="E68" s="9" t="s">
        <v>114</v>
      </c>
      <c r="F68" s="75">
        <v>0</v>
      </c>
      <c r="G68" s="30">
        <v>0</v>
      </c>
      <c r="H68" s="82">
        <v>6.46875</v>
      </c>
      <c r="I68" s="82">
        <v>21.5625</v>
      </c>
      <c r="J68" s="30" t="s">
        <v>142</v>
      </c>
      <c r="K68" s="85"/>
      <c r="L68" s="85"/>
      <c r="M68" s="85"/>
      <c r="N68" s="14" t="str">
        <f>IF(ANÁLISIS_EQUIPO[[#This Row],[PESO]]=0,"SIN IMPACTO",IF(G68&lt;=MAX(G$62:G$90)/4,"BAJO",
 IF(G68&lt;=MAX(G$62:G$90)/2,"MEDIO",
 IF(G68&lt;=MAX(G$62:G$90)*3/4,"ALTO","CRITICO"))))</f>
        <v>SIN IMPACTO</v>
      </c>
      <c r="O68" s="85"/>
    </row>
    <row r="69" spans="1:15" x14ac:dyDescent="0.25">
      <c r="A69" s="47" t="s">
        <v>153</v>
      </c>
      <c r="B69" s="47"/>
      <c r="C69" s="35" t="s">
        <v>148</v>
      </c>
      <c r="D69" s="38" t="s">
        <v>137</v>
      </c>
      <c r="E69" s="9" t="s">
        <v>115</v>
      </c>
      <c r="F69" s="75">
        <v>0</v>
      </c>
      <c r="G69" s="30">
        <v>0</v>
      </c>
      <c r="H69" s="82">
        <v>3.234375</v>
      </c>
      <c r="I69" s="82">
        <v>10.78125</v>
      </c>
      <c r="J69" s="30" t="s">
        <v>142</v>
      </c>
      <c r="K69" s="85"/>
      <c r="L69" s="85"/>
      <c r="M69" s="85"/>
      <c r="N69" s="14" t="str">
        <f>IF(ANÁLISIS_EQUIPO[[#This Row],[PESO]]=0,"SIN IMPACTO",IF(G69&lt;=MAX(G$62:G$90)/4,"BAJO",
 IF(G69&lt;=MAX(G$62:G$90)/2,"MEDIO",
 IF(G69&lt;=MAX(G$62:G$90)*3/4,"ALTO","CRITICO"))))</f>
        <v>SIN IMPACTO</v>
      </c>
      <c r="O69" s="85"/>
    </row>
    <row r="70" spans="1:15" x14ac:dyDescent="0.25">
      <c r="A70" s="47" t="s">
        <v>153</v>
      </c>
      <c r="B70" s="47"/>
      <c r="C70" s="35" t="s">
        <v>148</v>
      </c>
      <c r="D70" s="38" t="s">
        <v>137</v>
      </c>
      <c r="E70" s="9" t="s">
        <v>116</v>
      </c>
      <c r="F70" s="75">
        <v>0</v>
      </c>
      <c r="G70" s="30">
        <v>0</v>
      </c>
      <c r="H70" s="82">
        <v>1.2937500000000002</v>
      </c>
      <c r="I70" s="82">
        <v>4.3125</v>
      </c>
      <c r="J70" s="30" t="s">
        <v>142</v>
      </c>
      <c r="K70" s="85"/>
      <c r="L70" s="85"/>
      <c r="M70" s="85"/>
      <c r="N70" s="14" t="str">
        <f>IF(ANÁLISIS_EQUIPO[[#This Row],[PESO]]=0,"SIN IMPACTO",IF(G70&lt;=MAX(G$62:G$90)/4,"BAJO",
 IF(G70&lt;=MAX(G$62:G$90)/2,"MEDIO",
 IF(G70&lt;=MAX(G$62:G$90)*3/4,"ALTO","CRITICO"))))</f>
        <v>SIN IMPACTO</v>
      </c>
      <c r="O70" s="85"/>
    </row>
    <row r="71" spans="1:15" x14ac:dyDescent="0.25">
      <c r="A71" s="47" t="s">
        <v>153</v>
      </c>
      <c r="B71" s="47"/>
      <c r="C71" s="35" t="s">
        <v>148</v>
      </c>
      <c r="D71" s="38" t="s">
        <v>137</v>
      </c>
      <c r="E71" s="9" t="s">
        <v>117</v>
      </c>
      <c r="F71" s="75">
        <v>0</v>
      </c>
      <c r="G71" s="30">
        <v>0</v>
      </c>
      <c r="H71" s="82">
        <v>2.5875000000000004</v>
      </c>
      <c r="I71" s="82">
        <v>8.625</v>
      </c>
      <c r="J71" s="30" t="s">
        <v>142</v>
      </c>
      <c r="K71" s="85"/>
      <c r="L71" s="85"/>
      <c r="M71" s="85"/>
      <c r="N71" s="14" t="str">
        <f>IF(ANÁLISIS_EQUIPO[[#This Row],[PESO]]=0,"SIN IMPACTO",IF(G71&lt;=MAX(G$62:G$90)/4,"BAJO",
 IF(G71&lt;=MAX(G$62:G$90)/2,"MEDIO",
 IF(G71&lt;=MAX(G$62:G$90)*3/4,"ALTO","CRITICO"))))</f>
        <v>SIN IMPACTO</v>
      </c>
      <c r="O71" s="85"/>
    </row>
    <row r="72" spans="1:15" x14ac:dyDescent="0.25">
      <c r="A72" s="47" t="s">
        <v>153</v>
      </c>
      <c r="B72" s="47"/>
      <c r="C72" s="36" t="s">
        <v>62</v>
      </c>
      <c r="D72" s="45" t="s">
        <v>137</v>
      </c>
      <c r="E72" s="5" t="s">
        <v>118</v>
      </c>
      <c r="F72" s="75">
        <v>0</v>
      </c>
      <c r="G72" s="30">
        <v>0</v>
      </c>
      <c r="H72" s="82">
        <v>1.2937500000000002</v>
      </c>
      <c r="I72" s="82">
        <v>4.3125</v>
      </c>
      <c r="J72" s="30" t="s">
        <v>142</v>
      </c>
      <c r="K72" s="85"/>
      <c r="L72" s="85"/>
      <c r="M72" s="85"/>
      <c r="N72" s="14" t="str">
        <f>IF(ANÁLISIS_EQUIPO[[#This Row],[PESO]]=0,"SIN IMPACTO",IF(G72&lt;=MAX(G$62:G$90)/4,"BAJO",
 IF(G72&lt;=MAX(G$62:G$90)/2,"MEDIO",
 IF(G72&lt;=MAX(G$62:G$90)*3/4,"ALTO","CRITICO"))))</f>
        <v>SIN IMPACTO</v>
      </c>
      <c r="O72" s="85"/>
    </row>
    <row r="73" spans="1:15" x14ac:dyDescent="0.25">
      <c r="A73" s="47" t="s">
        <v>153</v>
      </c>
      <c r="B73" s="47"/>
      <c r="C73" s="36" t="s">
        <v>62</v>
      </c>
      <c r="D73" s="45" t="s">
        <v>137</v>
      </c>
      <c r="E73" s="5" t="s">
        <v>24</v>
      </c>
      <c r="F73" s="75">
        <v>0</v>
      </c>
      <c r="G73" s="30">
        <v>0</v>
      </c>
      <c r="H73" s="82">
        <v>0.64687500000000009</v>
      </c>
      <c r="I73" s="82">
        <v>2.15625</v>
      </c>
      <c r="J73" s="30" t="s">
        <v>142</v>
      </c>
      <c r="K73" s="85"/>
      <c r="L73" s="85"/>
      <c r="M73" s="85"/>
      <c r="N73" s="14" t="str">
        <f>IF(ANÁLISIS_EQUIPO[[#This Row],[PESO]]=0,"SIN IMPACTO",IF(G73&lt;=MAX(G$62:G$90)/4,"BAJO",
 IF(G73&lt;=MAX(G$62:G$90)/2,"MEDIO",
 IF(G73&lt;=MAX(G$62:G$90)*3/4,"ALTO","CRITICO"))))</f>
        <v>SIN IMPACTO</v>
      </c>
      <c r="O73" s="85"/>
    </row>
    <row r="74" spans="1:15" x14ac:dyDescent="0.25">
      <c r="A74" s="47" t="s">
        <v>153</v>
      </c>
      <c r="B74" s="47"/>
      <c r="C74" s="36" t="s">
        <v>62</v>
      </c>
      <c r="D74" s="45" t="s">
        <v>137</v>
      </c>
      <c r="E74" s="5" t="s">
        <v>25</v>
      </c>
      <c r="F74" s="75">
        <v>0</v>
      </c>
      <c r="G74" s="30">
        <v>0</v>
      </c>
      <c r="H74" s="82">
        <v>0</v>
      </c>
      <c r="I74" s="82">
        <v>0</v>
      </c>
      <c r="J74" s="30" t="s">
        <v>142</v>
      </c>
      <c r="K74" s="85"/>
      <c r="L74" s="85"/>
      <c r="M74" s="85"/>
      <c r="N74" s="14" t="str">
        <f>IF(ANÁLISIS_EQUIPO[[#This Row],[PESO]]=0,"SIN IMPACTO",IF(G74&lt;=MAX(G$62:G$90)/4,"BAJO",
 IF(G74&lt;=MAX(G$62:G$90)/2,"MEDIO",
 IF(G74&lt;=MAX(G$62:G$90)*3/4,"ALTO","CRITICO"))))</f>
        <v>SIN IMPACTO</v>
      </c>
      <c r="O74" s="85"/>
    </row>
    <row r="75" spans="1:15" x14ac:dyDescent="0.25">
      <c r="A75" s="47" t="s">
        <v>153</v>
      </c>
      <c r="B75" s="47"/>
      <c r="C75" s="36" t="s">
        <v>62</v>
      </c>
      <c r="D75" s="45" t="s">
        <v>137</v>
      </c>
      <c r="E75" s="5" t="s">
        <v>26</v>
      </c>
      <c r="F75" s="75">
        <v>0</v>
      </c>
      <c r="G75" s="30">
        <v>0</v>
      </c>
      <c r="H75" s="82">
        <v>0.64687500000000009</v>
      </c>
      <c r="I75" s="82">
        <v>2.15625</v>
      </c>
      <c r="J75" s="30" t="s">
        <v>142</v>
      </c>
      <c r="K75" s="85"/>
      <c r="L75" s="85"/>
      <c r="M75" s="85"/>
      <c r="N75" s="14" t="str">
        <f>IF(ANÁLISIS_EQUIPO[[#This Row],[PESO]]=0,"SIN IMPACTO",IF(G75&lt;=MAX(G$62:G$90)/4,"BAJO",
 IF(G75&lt;=MAX(G$62:G$90)/2,"MEDIO",
 IF(G75&lt;=MAX(G$62:G$90)*3/4,"ALTO","CRITICO"))))</f>
        <v>SIN IMPACTO</v>
      </c>
      <c r="O75" s="85"/>
    </row>
    <row r="76" spans="1:15" x14ac:dyDescent="0.25">
      <c r="A76" s="47" t="s">
        <v>153</v>
      </c>
      <c r="B76" s="47"/>
      <c r="C76" s="36" t="s">
        <v>62</v>
      </c>
      <c r="D76" s="45" t="s">
        <v>137</v>
      </c>
      <c r="E76" s="5" t="s">
        <v>27</v>
      </c>
      <c r="F76" s="75">
        <v>0</v>
      </c>
      <c r="G76" s="30">
        <v>0</v>
      </c>
      <c r="H76" s="82">
        <v>0</v>
      </c>
      <c r="I76" s="82">
        <v>0</v>
      </c>
      <c r="J76" s="30" t="s">
        <v>142</v>
      </c>
      <c r="K76" s="85"/>
      <c r="L76" s="85"/>
      <c r="M76" s="85"/>
      <c r="N76" s="14" t="str">
        <f>IF(ANÁLISIS_EQUIPO[[#This Row],[PESO]]=0,"SIN IMPACTO",IF(G76&lt;=MAX(G$62:G$90)/4,"BAJO",
 IF(G76&lt;=MAX(G$62:G$90)/2,"MEDIO",
 IF(G76&lt;=MAX(G$62:G$90)*3/4,"ALTO","CRITICO"))))</f>
        <v>SIN IMPACTO</v>
      </c>
      <c r="O76" s="85"/>
    </row>
    <row r="77" spans="1:15" x14ac:dyDescent="0.25">
      <c r="A77" s="47" t="s">
        <v>153</v>
      </c>
      <c r="B77" s="47"/>
      <c r="C77" s="36" t="s">
        <v>62</v>
      </c>
      <c r="D77" s="45" t="s">
        <v>137</v>
      </c>
      <c r="E77" s="5" t="s">
        <v>28</v>
      </c>
      <c r="F77" s="75">
        <v>0</v>
      </c>
      <c r="G77" s="30">
        <v>0</v>
      </c>
      <c r="H77" s="82">
        <v>1.9406250000000003</v>
      </c>
      <c r="I77" s="82">
        <v>6.4687500000000009</v>
      </c>
      <c r="J77" s="30" t="s">
        <v>142</v>
      </c>
      <c r="K77" s="85"/>
      <c r="L77" s="85"/>
      <c r="M77" s="85"/>
      <c r="N77" s="14" t="str">
        <f>IF(ANÁLISIS_EQUIPO[[#This Row],[PESO]]=0,"SIN IMPACTO",IF(G77&lt;=MAX(G$62:G$90)/4,"BAJO",
 IF(G77&lt;=MAX(G$62:G$90)/2,"MEDIO",
 IF(G77&lt;=MAX(G$62:G$90)*3/4,"ALTO","CRITICO"))))</f>
        <v>SIN IMPACTO</v>
      </c>
      <c r="O77" s="85"/>
    </row>
    <row r="78" spans="1:15" x14ac:dyDescent="0.25">
      <c r="A78" s="47" t="s">
        <v>153</v>
      </c>
      <c r="B78" s="47"/>
      <c r="C78" s="36" t="s">
        <v>62</v>
      </c>
      <c r="D78" s="45" t="s">
        <v>137</v>
      </c>
      <c r="E78" s="5" t="s">
        <v>119</v>
      </c>
      <c r="F78" s="75">
        <v>0</v>
      </c>
      <c r="G78" s="30">
        <v>0</v>
      </c>
      <c r="H78" s="82">
        <v>1.9406250000000003</v>
      </c>
      <c r="I78" s="82">
        <v>6.4687500000000009</v>
      </c>
      <c r="J78" s="30" t="s">
        <v>142</v>
      </c>
      <c r="K78" s="85"/>
      <c r="L78" s="85"/>
      <c r="M78" s="85"/>
      <c r="N78" s="14" t="str">
        <f>IF(ANÁLISIS_EQUIPO[[#This Row],[PESO]]=0,"SIN IMPACTO",IF(G78&lt;=MAX(G$62:G$90)/4,"BAJO",
 IF(G78&lt;=MAX(G$62:G$90)/2,"MEDIO",
 IF(G78&lt;=MAX(G$62:G$90)*3/4,"ALTO","CRITICO"))))</f>
        <v>SIN IMPACTO</v>
      </c>
      <c r="O78" s="85"/>
    </row>
    <row r="79" spans="1:15" x14ac:dyDescent="0.25">
      <c r="A79" s="47" t="s">
        <v>153</v>
      </c>
      <c r="B79" s="47"/>
      <c r="C79" s="36" t="s">
        <v>62</v>
      </c>
      <c r="D79" s="45" t="s">
        <v>137</v>
      </c>
      <c r="E79" s="5" t="s">
        <v>120</v>
      </c>
      <c r="F79" s="75">
        <v>0</v>
      </c>
      <c r="G79" s="30">
        <v>0</v>
      </c>
      <c r="H79" s="82">
        <v>0</v>
      </c>
      <c r="I79" s="82">
        <v>0</v>
      </c>
      <c r="J79" s="30" t="s">
        <v>142</v>
      </c>
      <c r="K79" s="85"/>
      <c r="L79" s="85"/>
      <c r="M79" s="85"/>
      <c r="N79" s="14" t="str">
        <f>IF(ANÁLISIS_EQUIPO[[#This Row],[PESO]]=0,"SIN IMPACTO",IF(G79&lt;=MAX(G$62:G$90)/4,"BAJO",
 IF(G79&lt;=MAX(G$62:G$90)/2,"MEDIO",
 IF(G79&lt;=MAX(G$62:G$90)*3/4,"ALTO","CRITICO"))))</f>
        <v>SIN IMPACTO</v>
      </c>
      <c r="O79" s="85"/>
    </row>
    <row r="80" spans="1:15" x14ac:dyDescent="0.25">
      <c r="A80" s="47" t="s">
        <v>153</v>
      </c>
      <c r="B80" s="47"/>
      <c r="C80" s="36" t="s">
        <v>62</v>
      </c>
      <c r="D80" s="45" t="s">
        <v>137</v>
      </c>
      <c r="E80" s="5" t="s">
        <v>121</v>
      </c>
      <c r="F80" s="75">
        <v>0</v>
      </c>
      <c r="G80" s="30">
        <v>0</v>
      </c>
      <c r="H80" s="82">
        <v>0</v>
      </c>
      <c r="I80" s="82">
        <v>0</v>
      </c>
      <c r="J80" s="30" t="s">
        <v>142</v>
      </c>
      <c r="K80" s="85"/>
      <c r="L80" s="85"/>
      <c r="M80" s="85"/>
      <c r="N80" s="14" t="str">
        <f>IF(ANÁLISIS_EQUIPO[[#This Row],[PESO]]=0,"SIN IMPACTO",IF(G80&lt;=MAX(G$62:G$90)/4,"BAJO",
 IF(G80&lt;=MAX(G$62:G$90)/2,"MEDIO",
 IF(G80&lt;=MAX(G$62:G$90)*3/4,"ALTO","CRITICO"))))</f>
        <v>SIN IMPACTO</v>
      </c>
      <c r="O80" s="85"/>
    </row>
    <row r="81" spans="1:15" x14ac:dyDescent="0.25">
      <c r="A81" s="47" t="s">
        <v>153</v>
      </c>
      <c r="B81" s="47"/>
      <c r="C81" s="36" t="s">
        <v>62</v>
      </c>
      <c r="D81" s="45" t="s">
        <v>137</v>
      </c>
      <c r="E81" s="5" t="s">
        <v>122</v>
      </c>
      <c r="F81" s="75">
        <v>0</v>
      </c>
      <c r="G81" s="30">
        <v>0</v>
      </c>
      <c r="H81" s="82">
        <v>0</v>
      </c>
      <c r="I81" s="82">
        <v>0</v>
      </c>
      <c r="J81" s="30" t="s">
        <v>142</v>
      </c>
      <c r="K81" s="85"/>
      <c r="L81" s="85"/>
      <c r="M81" s="85"/>
      <c r="N81" s="14" t="str">
        <f>IF(ANÁLISIS_EQUIPO[[#This Row],[PESO]]=0,"SIN IMPACTO",IF(G81&lt;=MAX(G$62:G$90)/4,"BAJO",
 IF(G81&lt;=MAX(G$62:G$90)/2,"MEDIO",
 IF(G81&lt;=MAX(G$62:G$90)*3/4,"ALTO","CRITICO"))))</f>
        <v>SIN IMPACTO</v>
      </c>
      <c r="O81" s="85"/>
    </row>
    <row r="82" spans="1:15" x14ac:dyDescent="0.25">
      <c r="A82" s="47" t="s">
        <v>153</v>
      </c>
      <c r="B82" s="47"/>
      <c r="C82" s="48" t="s">
        <v>150</v>
      </c>
      <c r="D82" s="46" t="s">
        <v>137</v>
      </c>
      <c r="E82" s="10" t="s">
        <v>123</v>
      </c>
      <c r="F82" s="75">
        <v>0</v>
      </c>
      <c r="G82" s="30">
        <v>0</v>
      </c>
      <c r="H82" s="82">
        <v>2.5875000000000004</v>
      </c>
      <c r="I82" s="82">
        <v>8.625</v>
      </c>
      <c r="J82" s="30" t="s">
        <v>142</v>
      </c>
      <c r="K82" s="85"/>
      <c r="L82" s="85"/>
      <c r="M82" s="85"/>
      <c r="N82" s="14" t="str">
        <f>IF(ANÁLISIS_EQUIPO[[#This Row],[PESO]]=0,"SIN IMPACTO",IF(G82&lt;=MAX(G$62:G$90)/4,"BAJO",
 IF(G82&lt;=MAX(G$62:G$90)/2,"MEDIO",
 IF(G82&lt;=MAX(G$62:G$90)*3/4,"ALTO","CRITICO"))))</f>
        <v>SIN IMPACTO</v>
      </c>
      <c r="O82" s="85"/>
    </row>
    <row r="83" spans="1:15" x14ac:dyDescent="0.25">
      <c r="A83" s="47" t="s">
        <v>153</v>
      </c>
      <c r="B83" s="47"/>
      <c r="C83" s="48" t="s">
        <v>150</v>
      </c>
      <c r="D83" s="46" t="s">
        <v>137</v>
      </c>
      <c r="E83" s="10" t="s">
        <v>124</v>
      </c>
      <c r="F83" s="75">
        <v>0</v>
      </c>
      <c r="G83" s="30">
        <v>0</v>
      </c>
      <c r="H83" s="82">
        <v>0.64687500000000009</v>
      </c>
      <c r="I83" s="82">
        <v>2.15625</v>
      </c>
      <c r="J83" s="30" t="s">
        <v>142</v>
      </c>
      <c r="K83" s="85"/>
      <c r="L83" s="85"/>
      <c r="M83" s="85"/>
      <c r="N83" s="14" t="str">
        <f>IF(ANÁLISIS_EQUIPO[[#This Row],[PESO]]=0,"SIN IMPACTO",IF(G83&lt;=MAX(G$62:G$90)/4,"BAJO",
 IF(G83&lt;=MAX(G$62:G$90)/2,"MEDIO",
 IF(G83&lt;=MAX(G$62:G$90)*3/4,"ALTO","CRITICO"))))</f>
        <v>SIN IMPACTO</v>
      </c>
      <c r="O83" s="85"/>
    </row>
    <row r="84" spans="1:15" x14ac:dyDescent="0.25">
      <c r="A84" s="47" t="s">
        <v>153</v>
      </c>
      <c r="B84" s="47"/>
      <c r="C84" s="48" t="s">
        <v>150</v>
      </c>
      <c r="D84" s="46" t="s">
        <v>137</v>
      </c>
      <c r="E84" s="10" t="s">
        <v>125</v>
      </c>
      <c r="F84" s="75">
        <v>0</v>
      </c>
      <c r="G84" s="30">
        <v>0</v>
      </c>
      <c r="H84" s="82">
        <v>0</v>
      </c>
      <c r="I84" s="82">
        <v>0</v>
      </c>
      <c r="J84" s="30" t="s">
        <v>142</v>
      </c>
      <c r="K84" s="85"/>
      <c r="L84" s="85"/>
      <c r="M84" s="85"/>
      <c r="N84" s="14" t="str">
        <f>IF(ANÁLISIS_EQUIPO[[#This Row],[PESO]]=0,"SIN IMPACTO",IF(G84&lt;=MAX(G$62:G$90)/4,"BAJO",
 IF(G84&lt;=MAX(G$62:G$90)/2,"MEDIO",
 IF(G84&lt;=MAX(G$62:G$90)*3/4,"ALTO","CRITICO"))))</f>
        <v>SIN IMPACTO</v>
      </c>
      <c r="O84" s="85"/>
    </row>
    <row r="85" spans="1:15" x14ac:dyDescent="0.25">
      <c r="A85" s="47" t="s">
        <v>153</v>
      </c>
      <c r="B85" s="47"/>
      <c r="C85" s="48" t="s">
        <v>150</v>
      </c>
      <c r="D85" s="46" t="s">
        <v>137</v>
      </c>
      <c r="E85" s="10" t="s">
        <v>126</v>
      </c>
      <c r="F85" s="75">
        <v>0</v>
      </c>
      <c r="G85" s="30">
        <v>0</v>
      </c>
      <c r="H85" s="82">
        <v>0</v>
      </c>
      <c r="I85" s="82">
        <v>0</v>
      </c>
      <c r="J85" s="30" t="s">
        <v>142</v>
      </c>
      <c r="K85" s="85"/>
      <c r="L85" s="85"/>
      <c r="M85" s="85"/>
      <c r="N85" s="14" t="str">
        <f>IF(ANÁLISIS_EQUIPO[[#This Row],[PESO]]=0,"SIN IMPACTO",IF(G85&lt;=MAX(G$62:G$90)/4,"BAJO",
 IF(G85&lt;=MAX(G$62:G$90)/2,"MEDIO",
 IF(G85&lt;=MAX(G$62:G$90)*3/4,"ALTO","CRITICO"))))</f>
        <v>SIN IMPACTO</v>
      </c>
      <c r="O85" s="85"/>
    </row>
    <row r="86" spans="1:15" x14ac:dyDescent="0.25">
      <c r="A86" s="47" t="s">
        <v>153</v>
      </c>
      <c r="B86" s="47"/>
      <c r="C86" s="48" t="s">
        <v>150</v>
      </c>
      <c r="D86" s="46" t="s">
        <v>137</v>
      </c>
      <c r="E86" s="10" t="s">
        <v>127</v>
      </c>
      <c r="F86" s="75">
        <v>0</v>
      </c>
      <c r="G86" s="30">
        <v>0</v>
      </c>
      <c r="H86" s="82">
        <v>0</v>
      </c>
      <c r="I86" s="82">
        <v>0</v>
      </c>
      <c r="J86" s="30" t="s">
        <v>142</v>
      </c>
      <c r="K86" s="85"/>
      <c r="L86" s="85"/>
      <c r="M86" s="85"/>
      <c r="N86" s="14" t="str">
        <f>IF(ANÁLISIS_EQUIPO[[#This Row],[PESO]]=0,"SIN IMPACTO",IF(G86&lt;=MAX(G$62:G$90)/4,"BAJO",
 IF(G86&lt;=MAX(G$62:G$90)/2,"MEDIO",
 IF(G86&lt;=MAX(G$62:G$90)*3/4,"ALTO","CRITICO"))))</f>
        <v>SIN IMPACTO</v>
      </c>
      <c r="O86" s="85"/>
    </row>
    <row r="87" spans="1:15" x14ac:dyDescent="0.25">
      <c r="A87" s="47" t="s">
        <v>153</v>
      </c>
      <c r="B87" s="47"/>
      <c r="C87" s="48" t="s">
        <v>150</v>
      </c>
      <c r="D87" s="46" t="s">
        <v>137</v>
      </c>
      <c r="E87" s="10" t="s">
        <v>30</v>
      </c>
      <c r="F87" s="75">
        <v>0</v>
      </c>
      <c r="G87" s="30">
        <v>0</v>
      </c>
      <c r="H87" s="82">
        <v>0</v>
      </c>
      <c r="I87" s="82">
        <v>0</v>
      </c>
      <c r="J87" s="30" t="s">
        <v>142</v>
      </c>
      <c r="K87" s="85"/>
      <c r="L87" s="85"/>
      <c r="M87" s="85"/>
      <c r="N87" s="14" t="str">
        <f>IF(ANÁLISIS_EQUIPO[[#This Row],[PESO]]=0,"SIN IMPACTO",IF(G87&lt;=MAX(G$62:G$90)/4,"BAJO",
 IF(G87&lt;=MAX(G$62:G$90)/2,"MEDIO",
 IF(G87&lt;=MAX(G$62:G$90)*3/4,"ALTO","CRITICO"))))</f>
        <v>SIN IMPACTO</v>
      </c>
      <c r="O87" s="85"/>
    </row>
    <row r="88" spans="1:15" x14ac:dyDescent="0.25">
      <c r="A88" s="47" t="s">
        <v>153</v>
      </c>
      <c r="B88" s="47"/>
      <c r="C88" s="36" t="s">
        <v>149</v>
      </c>
      <c r="D88" s="45" t="s">
        <v>137</v>
      </c>
      <c r="E88" s="5" t="s">
        <v>128</v>
      </c>
      <c r="F88" s="75">
        <v>0</v>
      </c>
      <c r="G88" s="30">
        <v>0</v>
      </c>
      <c r="H88" s="82">
        <v>0</v>
      </c>
      <c r="I88" s="82">
        <v>0</v>
      </c>
      <c r="J88" s="30" t="s">
        <v>142</v>
      </c>
      <c r="K88" s="85"/>
      <c r="L88" s="85"/>
      <c r="M88" s="85"/>
      <c r="N88" s="14" t="str">
        <f>IF(ANÁLISIS_EQUIPO[[#This Row],[PESO]]=0,"SIN IMPACTO",IF(G88&lt;=MAX(G$62:G$90)/4,"BAJO",
 IF(G88&lt;=MAX(G$62:G$90)/2,"MEDIO",
 IF(G88&lt;=MAX(G$62:G$90)*3/4,"ALTO","CRITICO"))))</f>
        <v>SIN IMPACTO</v>
      </c>
      <c r="O88" s="85"/>
    </row>
    <row r="89" spans="1:15" x14ac:dyDescent="0.25">
      <c r="A89" s="47" t="s">
        <v>153</v>
      </c>
      <c r="B89" s="47"/>
      <c r="C89" s="36" t="s">
        <v>149</v>
      </c>
      <c r="D89" s="45" t="s">
        <v>137</v>
      </c>
      <c r="E89" s="5" t="s">
        <v>129</v>
      </c>
      <c r="F89" s="75">
        <v>0</v>
      </c>
      <c r="G89" s="30">
        <v>0</v>
      </c>
      <c r="H89" s="82">
        <v>0</v>
      </c>
      <c r="I89" s="82">
        <v>0</v>
      </c>
      <c r="J89" s="30" t="s">
        <v>142</v>
      </c>
      <c r="K89" s="85"/>
      <c r="L89" s="85"/>
      <c r="M89" s="85"/>
      <c r="N89" s="14" t="str">
        <f>IF(ANÁLISIS_EQUIPO[[#This Row],[PESO]]=0,"SIN IMPACTO",IF(G89&lt;=MAX(G$62:G$90)/4,"BAJO",
 IF(G89&lt;=MAX(G$62:G$90)/2,"MEDIO",
 IF(G89&lt;=MAX(G$62:G$90)*3/4,"ALTO","CRITICO"))))</f>
        <v>SIN IMPACTO</v>
      </c>
      <c r="O89" s="85"/>
    </row>
    <row r="90" spans="1:15" x14ac:dyDescent="0.25">
      <c r="A90" s="47" t="s">
        <v>153</v>
      </c>
      <c r="B90" s="47"/>
      <c r="C90" s="36" t="s">
        <v>149</v>
      </c>
      <c r="D90" s="45" t="s">
        <v>137</v>
      </c>
      <c r="E90" s="5" t="s">
        <v>31</v>
      </c>
      <c r="F90" s="75">
        <v>0</v>
      </c>
      <c r="G90" s="30">
        <v>0</v>
      </c>
      <c r="H90" s="82">
        <v>0.64687500000000009</v>
      </c>
      <c r="I90" s="82">
        <v>2.15625</v>
      </c>
      <c r="J90" s="30" t="s">
        <v>142</v>
      </c>
      <c r="K90" s="85"/>
      <c r="L90" s="85"/>
      <c r="M90" s="85"/>
      <c r="N90" s="14" t="str">
        <f>IF(ANÁLISIS_EQUIPO[[#This Row],[PESO]]=0,"SIN IMPACTO",IF(G90&lt;=MAX(G$62:G$90)/4,"BAJO",
 IF(G90&lt;=MAX(G$62:G$90)/2,"MEDIO",
 IF(G90&lt;=MAX(G$62:G$90)*3/4,"ALTO","CRITICO"))))</f>
        <v>SIN IMPACTO</v>
      </c>
      <c r="O90" s="85"/>
    </row>
    <row r="91" spans="1:15" hidden="1" x14ac:dyDescent="0.25">
      <c r="A91" s="39" t="s">
        <v>153</v>
      </c>
      <c r="B91" s="41"/>
      <c r="C91" s="42" t="s">
        <v>45</v>
      </c>
      <c r="D91" s="39" t="s">
        <v>184</v>
      </c>
      <c r="E91" s="42" t="s">
        <v>45</v>
      </c>
      <c r="F91" s="79">
        <v>0</v>
      </c>
      <c r="G91" s="44">
        <v>0</v>
      </c>
      <c r="H91" s="83">
        <v>46.575000000000003</v>
      </c>
      <c r="I91" s="83">
        <v>155.24999999999997</v>
      </c>
      <c r="J91" s="30" t="s">
        <v>142</v>
      </c>
      <c r="K91" s="85"/>
      <c r="L91" s="85"/>
      <c r="M91" s="85"/>
      <c r="N91" s="90"/>
      <c r="O91" s="91"/>
    </row>
    <row r="92" spans="1:15" x14ac:dyDescent="0.25">
      <c r="A92" s="47" t="s">
        <v>153</v>
      </c>
      <c r="B92" s="47"/>
      <c r="C92" s="35" t="s">
        <v>148</v>
      </c>
      <c r="D92" s="38" t="s">
        <v>138</v>
      </c>
      <c r="E92" s="9" t="s">
        <v>108</v>
      </c>
      <c r="F92" s="75">
        <v>0</v>
      </c>
      <c r="G92" s="30">
        <v>0</v>
      </c>
      <c r="H92" s="82">
        <v>1.9406250000000003</v>
      </c>
      <c r="I92" s="82">
        <v>4.5281250000000011</v>
      </c>
      <c r="J92" s="30" t="s">
        <v>142</v>
      </c>
      <c r="K92" s="85"/>
      <c r="L92" s="85"/>
      <c r="M92" s="85"/>
      <c r="N92" s="14" t="str">
        <f>IF(ANÁLISIS_EQUIPO[[#This Row],[PESO]]=0,"SIN IMPACTO",IF(G92&lt;=MAX(G$92:G$120)/4,"BAJO",
 IF(G92&lt;=MAX(G$92:G$120)/2,"MEDIO",
 IF(G92&lt;=MAX(G$92:G$120)*3/4,"ALTO","CRITICO"))))</f>
        <v>SIN IMPACTO</v>
      </c>
      <c r="O92" s="85"/>
    </row>
    <row r="93" spans="1:15" x14ac:dyDescent="0.25">
      <c r="A93" s="47" t="s">
        <v>153</v>
      </c>
      <c r="B93" s="47"/>
      <c r="C93" s="35" t="s">
        <v>148</v>
      </c>
      <c r="D93" s="38" t="s">
        <v>138</v>
      </c>
      <c r="E93" s="9" t="s">
        <v>109</v>
      </c>
      <c r="F93" s="75">
        <v>0</v>
      </c>
      <c r="G93" s="30">
        <v>0</v>
      </c>
      <c r="H93" s="82">
        <v>4.5281250000000002</v>
      </c>
      <c r="I93" s="82">
        <v>10.565625000000001</v>
      </c>
      <c r="J93" s="30" t="s">
        <v>142</v>
      </c>
      <c r="K93" s="85"/>
      <c r="L93" s="85"/>
      <c r="M93" s="85"/>
      <c r="N93" s="14" t="str">
        <f>IF(ANÁLISIS_EQUIPO[[#This Row],[PESO]]=0,"SIN IMPACTO",IF(G93&lt;=MAX(G$92:G$120)/4,"BAJO",
 IF(G93&lt;=MAX(G$92:G$120)/2,"MEDIO",
 IF(G93&lt;=MAX(G$92:G$120)*3/4,"ALTO","CRITICO"))))</f>
        <v>SIN IMPACTO</v>
      </c>
      <c r="O93" s="85"/>
    </row>
    <row r="94" spans="1:15" x14ac:dyDescent="0.25">
      <c r="A94" s="47" t="s">
        <v>153</v>
      </c>
      <c r="B94" s="47"/>
      <c r="C94" s="35" t="s">
        <v>148</v>
      </c>
      <c r="D94" s="38" t="s">
        <v>138</v>
      </c>
      <c r="E94" s="9" t="s">
        <v>110</v>
      </c>
      <c r="F94" s="75">
        <v>0</v>
      </c>
      <c r="G94" s="30">
        <v>0</v>
      </c>
      <c r="H94" s="82">
        <v>2.5875000000000004</v>
      </c>
      <c r="I94" s="82">
        <v>6.0374999999999996</v>
      </c>
      <c r="J94" s="30" t="s">
        <v>142</v>
      </c>
      <c r="K94" s="85"/>
      <c r="L94" s="85"/>
      <c r="M94" s="85"/>
      <c r="N94" s="14" t="str">
        <f>IF(ANÁLISIS_EQUIPO[[#This Row],[PESO]]=0,"SIN IMPACTO",IF(G94&lt;=MAX(G$92:G$120)/4,"BAJO",
 IF(G94&lt;=MAX(G$92:G$120)/2,"MEDIO",
 IF(G94&lt;=MAX(G$92:G$120)*3/4,"ALTO","CRITICO"))))</f>
        <v>SIN IMPACTO</v>
      </c>
      <c r="O94" s="85"/>
    </row>
    <row r="95" spans="1:15" x14ac:dyDescent="0.25">
      <c r="A95" s="47" t="s">
        <v>153</v>
      </c>
      <c r="B95" s="47"/>
      <c r="C95" s="35" t="s">
        <v>148</v>
      </c>
      <c r="D95" s="38" t="s">
        <v>138</v>
      </c>
      <c r="E95" s="9" t="s">
        <v>111</v>
      </c>
      <c r="F95" s="75">
        <v>0</v>
      </c>
      <c r="G95" s="30">
        <v>0</v>
      </c>
      <c r="H95" s="82">
        <v>2.5875000000000004</v>
      </c>
      <c r="I95" s="82">
        <v>6.0374999999999996</v>
      </c>
      <c r="J95" s="30" t="s">
        <v>142</v>
      </c>
      <c r="K95" s="85"/>
      <c r="L95" s="85"/>
      <c r="M95" s="85"/>
      <c r="N95" s="14" t="str">
        <f>IF(ANÁLISIS_EQUIPO[[#This Row],[PESO]]=0,"SIN IMPACTO",IF(G95&lt;=MAX(G$92:G$120)/4,"BAJO",
 IF(G95&lt;=MAX(G$92:G$120)/2,"MEDIO",
 IF(G95&lt;=MAX(G$92:G$120)*3/4,"ALTO","CRITICO"))))</f>
        <v>SIN IMPACTO</v>
      </c>
      <c r="O95" s="85"/>
    </row>
    <row r="96" spans="1:15" x14ac:dyDescent="0.25">
      <c r="A96" s="47" t="s">
        <v>153</v>
      </c>
      <c r="B96" s="47"/>
      <c r="C96" s="35" t="s">
        <v>148</v>
      </c>
      <c r="D96" s="38" t="s">
        <v>138</v>
      </c>
      <c r="E96" s="9" t="s">
        <v>112</v>
      </c>
      <c r="F96" s="75">
        <v>0</v>
      </c>
      <c r="G96" s="30">
        <v>0</v>
      </c>
      <c r="H96" s="82">
        <v>5.1750000000000007</v>
      </c>
      <c r="I96" s="82">
        <v>12.074999999999999</v>
      </c>
      <c r="J96" s="30" t="s">
        <v>142</v>
      </c>
      <c r="K96" s="85"/>
      <c r="L96" s="85"/>
      <c r="M96" s="85"/>
      <c r="N96" s="14" t="str">
        <f>IF(ANÁLISIS_EQUIPO[[#This Row],[PESO]]=0,"SIN IMPACTO",IF(G96&lt;=MAX(G$92:G$120)/4,"BAJO",
 IF(G96&lt;=MAX(G$92:G$120)/2,"MEDIO",
 IF(G96&lt;=MAX(G$92:G$120)*3/4,"ALTO","CRITICO"))))</f>
        <v>SIN IMPACTO</v>
      </c>
      <c r="O96" s="85"/>
    </row>
    <row r="97" spans="1:15" x14ac:dyDescent="0.25">
      <c r="A97" s="47" t="s">
        <v>153</v>
      </c>
      <c r="B97" s="47"/>
      <c r="C97" s="35" t="s">
        <v>148</v>
      </c>
      <c r="D97" s="38" t="s">
        <v>138</v>
      </c>
      <c r="E97" s="9" t="s">
        <v>113</v>
      </c>
      <c r="F97" s="75">
        <v>0</v>
      </c>
      <c r="G97" s="30">
        <v>0</v>
      </c>
      <c r="H97" s="82">
        <v>5.8218750000000004</v>
      </c>
      <c r="I97" s="82">
        <v>13.584375000000001</v>
      </c>
      <c r="J97" s="30" t="s">
        <v>142</v>
      </c>
      <c r="K97" s="85"/>
      <c r="L97" s="85"/>
      <c r="M97" s="85"/>
      <c r="N97" s="14" t="str">
        <f>IF(ANÁLISIS_EQUIPO[[#This Row],[PESO]]=0,"SIN IMPACTO",IF(G97&lt;=MAX(G$92:G$120)/4,"BAJO",
 IF(G97&lt;=MAX(G$92:G$120)/2,"MEDIO",
 IF(G97&lt;=MAX(G$92:G$120)*3/4,"ALTO","CRITICO"))))</f>
        <v>SIN IMPACTO</v>
      </c>
      <c r="O97" s="85"/>
    </row>
    <row r="98" spans="1:15" x14ac:dyDescent="0.25">
      <c r="A98" s="47" t="s">
        <v>153</v>
      </c>
      <c r="B98" s="47"/>
      <c r="C98" s="35" t="s">
        <v>148</v>
      </c>
      <c r="D98" s="38" t="s">
        <v>138</v>
      </c>
      <c r="E98" s="9" t="s">
        <v>114</v>
      </c>
      <c r="F98" s="75">
        <v>0</v>
      </c>
      <c r="G98" s="30">
        <v>0</v>
      </c>
      <c r="H98" s="82">
        <v>6.46875</v>
      </c>
      <c r="I98" s="82">
        <v>15.09375</v>
      </c>
      <c r="J98" s="30" t="s">
        <v>142</v>
      </c>
      <c r="K98" s="85"/>
      <c r="L98" s="85"/>
      <c r="M98" s="85"/>
      <c r="N98" s="14" t="str">
        <f>IF(ANÁLISIS_EQUIPO[[#This Row],[PESO]]=0,"SIN IMPACTO",IF(G98&lt;=MAX(G$92:G$120)/4,"BAJO",
 IF(G98&lt;=MAX(G$92:G$120)/2,"MEDIO",
 IF(G98&lt;=MAX(G$92:G$120)*3/4,"ALTO","CRITICO"))))</f>
        <v>SIN IMPACTO</v>
      </c>
      <c r="O98" s="85"/>
    </row>
    <row r="99" spans="1:15" x14ac:dyDescent="0.25">
      <c r="A99" s="47" t="s">
        <v>153</v>
      </c>
      <c r="B99" s="47"/>
      <c r="C99" s="35" t="s">
        <v>148</v>
      </c>
      <c r="D99" s="38" t="s">
        <v>138</v>
      </c>
      <c r="E99" s="9" t="s">
        <v>115</v>
      </c>
      <c r="F99" s="75">
        <v>0</v>
      </c>
      <c r="G99" s="30">
        <v>0</v>
      </c>
      <c r="H99" s="82">
        <v>3.234375</v>
      </c>
      <c r="I99" s="82">
        <v>7.546875</v>
      </c>
      <c r="J99" s="30" t="s">
        <v>142</v>
      </c>
      <c r="K99" s="85"/>
      <c r="L99" s="85"/>
      <c r="M99" s="85"/>
      <c r="N99" s="14" t="str">
        <f>IF(ANÁLISIS_EQUIPO[[#This Row],[PESO]]=0,"SIN IMPACTO",IF(G99&lt;=MAX(G$92:G$120)/4,"BAJO",
 IF(G99&lt;=MAX(G$92:G$120)/2,"MEDIO",
 IF(G99&lt;=MAX(G$92:G$120)*3/4,"ALTO","CRITICO"))))</f>
        <v>SIN IMPACTO</v>
      </c>
      <c r="O99" s="85"/>
    </row>
    <row r="100" spans="1:15" x14ac:dyDescent="0.25">
      <c r="A100" s="47" t="s">
        <v>153</v>
      </c>
      <c r="B100" s="47"/>
      <c r="C100" s="35" t="s">
        <v>148</v>
      </c>
      <c r="D100" s="38" t="s">
        <v>138</v>
      </c>
      <c r="E100" s="9" t="s">
        <v>116</v>
      </c>
      <c r="F100" s="75">
        <v>0</v>
      </c>
      <c r="G100" s="30">
        <v>0</v>
      </c>
      <c r="H100" s="82">
        <v>1.2937500000000002</v>
      </c>
      <c r="I100" s="82">
        <v>3.0187499999999998</v>
      </c>
      <c r="J100" s="30" t="s">
        <v>142</v>
      </c>
      <c r="K100" s="85"/>
      <c r="L100" s="85"/>
      <c r="M100" s="85"/>
      <c r="N100" s="14" t="str">
        <f>IF(ANÁLISIS_EQUIPO[[#This Row],[PESO]]=0,"SIN IMPACTO",IF(G100&lt;=MAX(G$92:G$120)/4,"BAJO",
 IF(G100&lt;=MAX(G$92:G$120)/2,"MEDIO",
 IF(G100&lt;=MAX(G$92:G$120)*3/4,"ALTO","CRITICO"))))</f>
        <v>SIN IMPACTO</v>
      </c>
      <c r="O100" s="85"/>
    </row>
    <row r="101" spans="1:15" x14ac:dyDescent="0.25">
      <c r="A101" s="47" t="s">
        <v>153</v>
      </c>
      <c r="B101" s="47"/>
      <c r="C101" s="35" t="s">
        <v>148</v>
      </c>
      <c r="D101" s="38" t="s">
        <v>138</v>
      </c>
      <c r="E101" s="9" t="s">
        <v>117</v>
      </c>
      <c r="F101" s="75">
        <v>0</v>
      </c>
      <c r="G101" s="30">
        <v>0</v>
      </c>
      <c r="H101" s="82">
        <v>2.5875000000000004</v>
      </c>
      <c r="I101" s="82">
        <v>6.0374999999999996</v>
      </c>
      <c r="J101" s="30" t="s">
        <v>142</v>
      </c>
      <c r="K101" s="85"/>
      <c r="L101" s="85"/>
      <c r="M101" s="85"/>
      <c r="N101" s="14" t="str">
        <f>IF(ANÁLISIS_EQUIPO[[#This Row],[PESO]]=0,"SIN IMPACTO",IF(G101&lt;=MAX(G$92:G$120)/4,"BAJO",
 IF(G101&lt;=MAX(G$92:G$120)/2,"MEDIO",
 IF(G101&lt;=MAX(G$92:G$120)*3/4,"ALTO","CRITICO"))))</f>
        <v>SIN IMPACTO</v>
      </c>
      <c r="O101" s="85"/>
    </row>
    <row r="102" spans="1:15" x14ac:dyDescent="0.25">
      <c r="A102" s="47" t="s">
        <v>153</v>
      </c>
      <c r="B102" s="47"/>
      <c r="C102" s="36" t="s">
        <v>62</v>
      </c>
      <c r="D102" s="45" t="s">
        <v>138</v>
      </c>
      <c r="E102" s="5" t="s">
        <v>118</v>
      </c>
      <c r="F102" s="75">
        <v>0</v>
      </c>
      <c r="G102" s="30">
        <v>0</v>
      </c>
      <c r="H102" s="82">
        <v>1.2937500000000002</v>
      </c>
      <c r="I102" s="82">
        <v>3.0187499999999998</v>
      </c>
      <c r="J102" s="30" t="s">
        <v>142</v>
      </c>
      <c r="K102" s="85"/>
      <c r="L102" s="85"/>
      <c r="M102" s="85"/>
      <c r="N102" s="14" t="str">
        <f>IF(ANÁLISIS_EQUIPO[[#This Row],[PESO]]=0,"SIN IMPACTO",IF(G102&lt;=MAX(G$92:G$120)/4,"BAJO",
 IF(G102&lt;=MAX(G$92:G$120)/2,"MEDIO",
 IF(G102&lt;=MAX(G$92:G$120)*3/4,"ALTO","CRITICO"))))</f>
        <v>SIN IMPACTO</v>
      </c>
      <c r="O102" s="85"/>
    </row>
    <row r="103" spans="1:15" x14ac:dyDescent="0.25">
      <c r="A103" s="47" t="s">
        <v>153</v>
      </c>
      <c r="B103" s="47"/>
      <c r="C103" s="36" t="s">
        <v>62</v>
      </c>
      <c r="D103" s="45" t="s">
        <v>138</v>
      </c>
      <c r="E103" s="5" t="s">
        <v>24</v>
      </c>
      <c r="F103" s="75">
        <v>0</v>
      </c>
      <c r="G103" s="30">
        <v>0</v>
      </c>
      <c r="H103" s="82">
        <v>0.64687500000000009</v>
      </c>
      <c r="I103" s="82">
        <v>1.5093749999999999</v>
      </c>
      <c r="J103" s="30" t="s">
        <v>142</v>
      </c>
      <c r="K103" s="85"/>
      <c r="L103" s="85"/>
      <c r="M103" s="85"/>
      <c r="N103" s="14" t="str">
        <f>IF(ANÁLISIS_EQUIPO[[#This Row],[PESO]]=0,"SIN IMPACTO",IF(G103&lt;=MAX(G$92:G$120)/4,"BAJO",
 IF(G103&lt;=MAX(G$92:G$120)/2,"MEDIO",
 IF(G103&lt;=MAX(G$92:G$120)*3/4,"ALTO","CRITICO"))))</f>
        <v>SIN IMPACTO</v>
      </c>
      <c r="O103" s="85"/>
    </row>
    <row r="104" spans="1:15" x14ac:dyDescent="0.25">
      <c r="A104" s="47" t="s">
        <v>153</v>
      </c>
      <c r="B104" s="47"/>
      <c r="C104" s="36" t="s">
        <v>62</v>
      </c>
      <c r="D104" s="45" t="s">
        <v>138</v>
      </c>
      <c r="E104" s="5" t="s">
        <v>25</v>
      </c>
      <c r="F104" s="75">
        <v>0</v>
      </c>
      <c r="G104" s="30">
        <v>0</v>
      </c>
      <c r="H104" s="82">
        <v>0</v>
      </c>
      <c r="I104" s="82">
        <v>0</v>
      </c>
      <c r="J104" s="30" t="s">
        <v>142</v>
      </c>
      <c r="K104" s="85"/>
      <c r="L104" s="85"/>
      <c r="M104" s="85"/>
      <c r="N104" s="14" t="str">
        <f>IF(ANÁLISIS_EQUIPO[[#This Row],[PESO]]=0,"SIN IMPACTO",IF(G104&lt;=MAX(G$92:G$120)/4,"BAJO",
 IF(G104&lt;=MAX(G$92:G$120)/2,"MEDIO",
 IF(G104&lt;=MAX(G$92:G$120)*3/4,"ALTO","CRITICO"))))</f>
        <v>SIN IMPACTO</v>
      </c>
      <c r="O104" s="85"/>
    </row>
    <row r="105" spans="1:15" x14ac:dyDescent="0.25">
      <c r="A105" s="47" t="s">
        <v>153</v>
      </c>
      <c r="B105" s="47"/>
      <c r="C105" s="36" t="s">
        <v>62</v>
      </c>
      <c r="D105" s="45" t="s">
        <v>138</v>
      </c>
      <c r="E105" s="5" t="s">
        <v>26</v>
      </c>
      <c r="F105" s="75">
        <v>0</v>
      </c>
      <c r="G105" s="30">
        <v>0</v>
      </c>
      <c r="H105" s="82">
        <v>0.64687500000000009</v>
      </c>
      <c r="I105" s="82">
        <v>1.5093749999999999</v>
      </c>
      <c r="J105" s="30" t="s">
        <v>142</v>
      </c>
      <c r="K105" s="85"/>
      <c r="L105" s="85"/>
      <c r="M105" s="85"/>
      <c r="N105" s="14" t="str">
        <f>IF(ANÁLISIS_EQUIPO[[#This Row],[PESO]]=0,"SIN IMPACTO",IF(G105&lt;=MAX(G$92:G$120)/4,"BAJO",
 IF(G105&lt;=MAX(G$92:G$120)/2,"MEDIO",
 IF(G105&lt;=MAX(G$92:G$120)*3/4,"ALTO","CRITICO"))))</f>
        <v>SIN IMPACTO</v>
      </c>
      <c r="O105" s="85"/>
    </row>
    <row r="106" spans="1:15" x14ac:dyDescent="0.25">
      <c r="A106" s="47" t="s">
        <v>153</v>
      </c>
      <c r="B106" s="47"/>
      <c r="C106" s="36" t="s">
        <v>62</v>
      </c>
      <c r="D106" s="45" t="s">
        <v>138</v>
      </c>
      <c r="E106" s="5" t="s">
        <v>27</v>
      </c>
      <c r="F106" s="75">
        <v>0</v>
      </c>
      <c r="G106" s="30">
        <v>0</v>
      </c>
      <c r="H106" s="82">
        <v>0</v>
      </c>
      <c r="I106" s="82">
        <v>0</v>
      </c>
      <c r="J106" s="30" t="s">
        <v>142</v>
      </c>
      <c r="K106" s="85"/>
      <c r="L106" s="85"/>
      <c r="M106" s="85"/>
      <c r="N106" s="14" t="str">
        <f>IF(ANÁLISIS_EQUIPO[[#This Row],[PESO]]=0,"SIN IMPACTO",IF(G106&lt;=MAX(G$92:G$120)/4,"BAJO",
 IF(G106&lt;=MAX(G$92:G$120)/2,"MEDIO",
 IF(G106&lt;=MAX(G$92:G$120)*3/4,"ALTO","CRITICO"))))</f>
        <v>SIN IMPACTO</v>
      </c>
      <c r="O106" s="85"/>
    </row>
    <row r="107" spans="1:15" x14ac:dyDescent="0.25">
      <c r="A107" s="47" t="s">
        <v>153</v>
      </c>
      <c r="B107" s="47"/>
      <c r="C107" s="36" t="s">
        <v>62</v>
      </c>
      <c r="D107" s="45" t="s">
        <v>138</v>
      </c>
      <c r="E107" s="5" t="s">
        <v>28</v>
      </c>
      <c r="F107" s="75">
        <v>0</v>
      </c>
      <c r="G107" s="30">
        <v>0</v>
      </c>
      <c r="H107" s="82">
        <v>1.9406250000000003</v>
      </c>
      <c r="I107" s="82">
        <v>4.5281250000000011</v>
      </c>
      <c r="J107" s="30" t="s">
        <v>142</v>
      </c>
      <c r="K107" s="85"/>
      <c r="L107" s="85"/>
      <c r="M107" s="85"/>
      <c r="N107" s="14" t="str">
        <f>IF(ANÁLISIS_EQUIPO[[#This Row],[PESO]]=0,"SIN IMPACTO",IF(G107&lt;=MAX(G$92:G$120)/4,"BAJO",
 IF(G107&lt;=MAX(G$92:G$120)/2,"MEDIO",
 IF(G107&lt;=MAX(G$92:G$120)*3/4,"ALTO","CRITICO"))))</f>
        <v>SIN IMPACTO</v>
      </c>
      <c r="O107" s="85"/>
    </row>
    <row r="108" spans="1:15" x14ac:dyDescent="0.25">
      <c r="A108" s="47" t="s">
        <v>153</v>
      </c>
      <c r="B108" s="47"/>
      <c r="C108" s="36" t="s">
        <v>62</v>
      </c>
      <c r="D108" s="45" t="s">
        <v>138</v>
      </c>
      <c r="E108" s="5" t="s">
        <v>119</v>
      </c>
      <c r="F108" s="75">
        <v>0</v>
      </c>
      <c r="G108" s="30">
        <v>0</v>
      </c>
      <c r="H108" s="82">
        <v>1.9406250000000003</v>
      </c>
      <c r="I108" s="82">
        <v>4.5281250000000011</v>
      </c>
      <c r="J108" s="30" t="s">
        <v>142</v>
      </c>
      <c r="K108" s="85"/>
      <c r="L108" s="85"/>
      <c r="M108" s="85"/>
      <c r="N108" s="14" t="str">
        <f>IF(ANÁLISIS_EQUIPO[[#This Row],[PESO]]=0,"SIN IMPACTO",IF(G108&lt;=MAX(G$92:G$120)/4,"BAJO",
 IF(G108&lt;=MAX(G$92:G$120)/2,"MEDIO",
 IF(G108&lt;=MAX(G$92:G$120)*3/4,"ALTO","CRITICO"))))</f>
        <v>SIN IMPACTO</v>
      </c>
      <c r="O108" s="85"/>
    </row>
    <row r="109" spans="1:15" x14ac:dyDescent="0.25">
      <c r="A109" s="47" t="s">
        <v>153</v>
      </c>
      <c r="B109" s="47"/>
      <c r="C109" s="36" t="s">
        <v>62</v>
      </c>
      <c r="D109" s="45" t="s">
        <v>138</v>
      </c>
      <c r="E109" s="5" t="s">
        <v>120</v>
      </c>
      <c r="F109" s="75">
        <v>0</v>
      </c>
      <c r="G109" s="30">
        <v>0</v>
      </c>
      <c r="H109" s="82">
        <v>0</v>
      </c>
      <c r="I109" s="82">
        <v>0</v>
      </c>
      <c r="J109" s="30" t="s">
        <v>142</v>
      </c>
      <c r="K109" s="85"/>
      <c r="L109" s="85"/>
      <c r="M109" s="85"/>
      <c r="N109" s="14" t="str">
        <f>IF(ANÁLISIS_EQUIPO[[#This Row],[PESO]]=0,"SIN IMPACTO",IF(G109&lt;=MAX(G$92:G$120)/4,"BAJO",
 IF(G109&lt;=MAX(G$92:G$120)/2,"MEDIO",
 IF(G109&lt;=MAX(G$92:G$120)*3/4,"ALTO","CRITICO"))))</f>
        <v>SIN IMPACTO</v>
      </c>
      <c r="O109" s="85"/>
    </row>
    <row r="110" spans="1:15" x14ac:dyDescent="0.25">
      <c r="A110" s="47" t="s">
        <v>153</v>
      </c>
      <c r="B110" s="47"/>
      <c r="C110" s="36" t="s">
        <v>62</v>
      </c>
      <c r="D110" s="45" t="s">
        <v>138</v>
      </c>
      <c r="E110" s="5" t="s">
        <v>121</v>
      </c>
      <c r="F110" s="75">
        <v>0</v>
      </c>
      <c r="G110" s="30">
        <v>0</v>
      </c>
      <c r="H110" s="82">
        <v>0</v>
      </c>
      <c r="I110" s="82">
        <v>0</v>
      </c>
      <c r="J110" s="30" t="s">
        <v>142</v>
      </c>
      <c r="K110" s="85"/>
      <c r="L110" s="85"/>
      <c r="M110" s="85"/>
      <c r="N110" s="14" t="str">
        <f>IF(ANÁLISIS_EQUIPO[[#This Row],[PESO]]=0,"SIN IMPACTO",IF(G110&lt;=MAX(G$92:G$120)/4,"BAJO",
 IF(G110&lt;=MAX(G$92:G$120)/2,"MEDIO",
 IF(G110&lt;=MAX(G$92:G$120)*3/4,"ALTO","CRITICO"))))</f>
        <v>SIN IMPACTO</v>
      </c>
      <c r="O110" s="85"/>
    </row>
    <row r="111" spans="1:15" x14ac:dyDescent="0.25">
      <c r="A111" s="47" t="s">
        <v>153</v>
      </c>
      <c r="B111" s="47"/>
      <c r="C111" s="36" t="s">
        <v>62</v>
      </c>
      <c r="D111" s="45" t="s">
        <v>138</v>
      </c>
      <c r="E111" s="5" t="s">
        <v>122</v>
      </c>
      <c r="F111" s="75">
        <v>0</v>
      </c>
      <c r="G111" s="30">
        <v>0</v>
      </c>
      <c r="H111" s="82">
        <v>0</v>
      </c>
      <c r="I111" s="82">
        <v>0</v>
      </c>
      <c r="J111" s="30" t="s">
        <v>142</v>
      </c>
      <c r="K111" s="85"/>
      <c r="L111" s="85"/>
      <c r="M111" s="85"/>
      <c r="N111" s="14" t="str">
        <f>IF(ANÁLISIS_EQUIPO[[#This Row],[PESO]]=0,"SIN IMPACTO",IF(G111&lt;=MAX(G$92:G$120)/4,"BAJO",
 IF(G111&lt;=MAX(G$92:G$120)/2,"MEDIO",
 IF(G111&lt;=MAX(G$92:G$120)*3/4,"ALTO","CRITICO"))))</f>
        <v>SIN IMPACTO</v>
      </c>
      <c r="O111" s="85"/>
    </row>
    <row r="112" spans="1:15" x14ac:dyDescent="0.25">
      <c r="A112" s="47" t="s">
        <v>153</v>
      </c>
      <c r="B112" s="47"/>
      <c r="C112" s="48" t="s">
        <v>150</v>
      </c>
      <c r="D112" s="46" t="s">
        <v>138</v>
      </c>
      <c r="E112" s="10" t="s">
        <v>123</v>
      </c>
      <c r="F112" s="75">
        <v>0</v>
      </c>
      <c r="G112" s="30">
        <v>0</v>
      </c>
      <c r="H112" s="82">
        <v>2.5875000000000004</v>
      </c>
      <c r="I112" s="82">
        <v>6.0374999999999996</v>
      </c>
      <c r="J112" s="30" t="s">
        <v>142</v>
      </c>
      <c r="K112" s="85"/>
      <c r="L112" s="85"/>
      <c r="M112" s="85"/>
      <c r="N112" s="14" t="str">
        <f>IF(ANÁLISIS_EQUIPO[[#This Row],[PESO]]=0,"SIN IMPACTO",IF(G112&lt;=MAX(G$92:G$120)/4,"BAJO",
 IF(G112&lt;=MAX(G$92:G$120)/2,"MEDIO",
 IF(G112&lt;=MAX(G$92:G$120)*3/4,"ALTO","CRITICO"))))</f>
        <v>SIN IMPACTO</v>
      </c>
      <c r="O112" s="85"/>
    </row>
    <row r="113" spans="1:15" x14ac:dyDescent="0.25">
      <c r="A113" s="47" t="s">
        <v>153</v>
      </c>
      <c r="B113" s="47"/>
      <c r="C113" s="48" t="s">
        <v>150</v>
      </c>
      <c r="D113" s="46" t="s">
        <v>138</v>
      </c>
      <c r="E113" s="10" t="s">
        <v>124</v>
      </c>
      <c r="F113" s="75">
        <v>0</v>
      </c>
      <c r="G113" s="30">
        <v>0</v>
      </c>
      <c r="H113" s="82">
        <v>0.64687500000000009</v>
      </c>
      <c r="I113" s="82">
        <v>1.5093749999999999</v>
      </c>
      <c r="J113" s="30" t="s">
        <v>142</v>
      </c>
      <c r="K113" s="85"/>
      <c r="L113" s="85"/>
      <c r="M113" s="85"/>
      <c r="N113" s="14" t="str">
        <f>IF(ANÁLISIS_EQUIPO[[#This Row],[PESO]]=0,"SIN IMPACTO",IF(G113&lt;=MAX(G$92:G$120)/4,"BAJO",
 IF(G113&lt;=MAX(G$92:G$120)/2,"MEDIO",
 IF(G113&lt;=MAX(G$92:G$120)*3/4,"ALTO","CRITICO"))))</f>
        <v>SIN IMPACTO</v>
      </c>
      <c r="O113" s="85"/>
    </row>
    <row r="114" spans="1:15" x14ac:dyDescent="0.25">
      <c r="A114" s="47" t="s">
        <v>153</v>
      </c>
      <c r="B114" s="47"/>
      <c r="C114" s="48" t="s">
        <v>150</v>
      </c>
      <c r="D114" s="46" t="s">
        <v>138</v>
      </c>
      <c r="E114" s="10" t="s">
        <v>125</v>
      </c>
      <c r="F114" s="75">
        <v>0</v>
      </c>
      <c r="G114" s="30">
        <v>0</v>
      </c>
      <c r="H114" s="82">
        <v>0</v>
      </c>
      <c r="I114" s="82">
        <v>0</v>
      </c>
      <c r="J114" s="30" t="s">
        <v>142</v>
      </c>
      <c r="K114" s="85"/>
      <c r="L114" s="85"/>
      <c r="M114" s="85"/>
      <c r="N114" s="14" t="str">
        <f>IF(ANÁLISIS_EQUIPO[[#This Row],[PESO]]=0,"SIN IMPACTO",IF(G114&lt;=MAX(G$92:G$120)/4,"BAJO",
 IF(G114&lt;=MAX(G$92:G$120)/2,"MEDIO",
 IF(G114&lt;=MAX(G$92:G$120)*3/4,"ALTO","CRITICO"))))</f>
        <v>SIN IMPACTO</v>
      </c>
      <c r="O114" s="85"/>
    </row>
    <row r="115" spans="1:15" x14ac:dyDescent="0.25">
      <c r="A115" s="47" t="s">
        <v>153</v>
      </c>
      <c r="B115" s="47"/>
      <c r="C115" s="48" t="s">
        <v>150</v>
      </c>
      <c r="D115" s="46" t="s">
        <v>138</v>
      </c>
      <c r="E115" s="10" t="s">
        <v>126</v>
      </c>
      <c r="F115" s="75">
        <v>0</v>
      </c>
      <c r="G115" s="30">
        <v>0</v>
      </c>
      <c r="H115" s="82">
        <v>0</v>
      </c>
      <c r="I115" s="82">
        <v>0</v>
      </c>
      <c r="J115" s="30" t="s">
        <v>142</v>
      </c>
      <c r="K115" s="85"/>
      <c r="L115" s="85"/>
      <c r="M115" s="85"/>
      <c r="N115" s="14" t="str">
        <f>IF(ANÁLISIS_EQUIPO[[#This Row],[PESO]]=0,"SIN IMPACTO",IF(G115&lt;=MAX(G$92:G$120)/4,"BAJO",
 IF(G115&lt;=MAX(G$92:G$120)/2,"MEDIO",
 IF(G115&lt;=MAX(G$92:G$120)*3/4,"ALTO","CRITICO"))))</f>
        <v>SIN IMPACTO</v>
      </c>
      <c r="O115" s="85"/>
    </row>
    <row r="116" spans="1:15" x14ac:dyDescent="0.25">
      <c r="A116" s="47" t="s">
        <v>153</v>
      </c>
      <c r="B116" s="47"/>
      <c r="C116" s="48" t="s">
        <v>150</v>
      </c>
      <c r="D116" s="46" t="s">
        <v>138</v>
      </c>
      <c r="E116" s="10" t="s">
        <v>127</v>
      </c>
      <c r="F116" s="75">
        <v>0</v>
      </c>
      <c r="G116" s="30">
        <v>0</v>
      </c>
      <c r="H116" s="82">
        <v>0</v>
      </c>
      <c r="I116" s="82">
        <v>0</v>
      </c>
      <c r="J116" s="30" t="s">
        <v>142</v>
      </c>
      <c r="K116" s="85"/>
      <c r="L116" s="85"/>
      <c r="M116" s="85"/>
      <c r="N116" s="14" t="str">
        <f>IF(ANÁLISIS_EQUIPO[[#This Row],[PESO]]=0,"SIN IMPACTO",IF(G116&lt;=MAX(G$92:G$120)/4,"BAJO",
 IF(G116&lt;=MAX(G$92:G$120)/2,"MEDIO",
 IF(G116&lt;=MAX(G$92:G$120)*3/4,"ALTO","CRITICO"))))</f>
        <v>SIN IMPACTO</v>
      </c>
      <c r="O116" s="85"/>
    </row>
    <row r="117" spans="1:15" x14ac:dyDescent="0.25">
      <c r="A117" s="47" t="s">
        <v>153</v>
      </c>
      <c r="B117" s="47"/>
      <c r="C117" s="48" t="s">
        <v>150</v>
      </c>
      <c r="D117" s="46" t="s">
        <v>138</v>
      </c>
      <c r="E117" s="10" t="s">
        <v>30</v>
      </c>
      <c r="F117" s="75">
        <v>0</v>
      </c>
      <c r="G117" s="30">
        <v>0</v>
      </c>
      <c r="H117" s="82">
        <v>0</v>
      </c>
      <c r="I117" s="82">
        <v>0</v>
      </c>
      <c r="J117" s="30" t="s">
        <v>142</v>
      </c>
      <c r="K117" s="85"/>
      <c r="L117" s="85"/>
      <c r="M117" s="85"/>
      <c r="N117" s="14" t="str">
        <f>IF(ANÁLISIS_EQUIPO[[#This Row],[PESO]]=0,"SIN IMPACTO",IF(G117&lt;=MAX(G$92:G$120)/4,"BAJO",
 IF(G117&lt;=MAX(G$92:G$120)/2,"MEDIO",
 IF(G117&lt;=MAX(G$92:G$120)*3/4,"ALTO","CRITICO"))))</f>
        <v>SIN IMPACTO</v>
      </c>
      <c r="O117" s="85"/>
    </row>
    <row r="118" spans="1:15" x14ac:dyDescent="0.25">
      <c r="A118" s="47" t="s">
        <v>153</v>
      </c>
      <c r="B118" s="47"/>
      <c r="C118" s="36" t="s">
        <v>149</v>
      </c>
      <c r="D118" s="45" t="s">
        <v>138</v>
      </c>
      <c r="E118" s="5" t="s">
        <v>128</v>
      </c>
      <c r="F118" s="75">
        <v>0</v>
      </c>
      <c r="G118" s="30">
        <v>0</v>
      </c>
      <c r="H118" s="82">
        <v>0</v>
      </c>
      <c r="I118" s="82">
        <v>0</v>
      </c>
      <c r="J118" s="30" t="s">
        <v>142</v>
      </c>
      <c r="K118" s="85"/>
      <c r="L118" s="85"/>
      <c r="M118" s="85"/>
      <c r="N118" s="14" t="str">
        <f>IF(ANÁLISIS_EQUIPO[[#This Row],[PESO]]=0,"SIN IMPACTO",IF(G118&lt;=MAX(G$92:G$120)/4,"BAJO",
 IF(G118&lt;=MAX(G$92:G$120)/2,"MEDIO",
 IF(G118&lt;=MAX(G$92:G$120)*3/4,"ALTO","CRITICO"))))</f>
        <v>SIN IMPACTO</v>
      </c>
      <c r="O118" s="85"/>
    </row>
    <row r="119" spans="1:15" x14ac:dyDescent="0.25">
      <c r="A119" s="47" t="s">
        <v>153</v>
      </c>
      <c r="B119" s="47"/>
      <c r="C119" s="36" t="s">
        <v>149</v>
      </c>
      <c r="D119" s="45" t="s">
        <v>138</v>
      </c>
      <c r="E119" s="5" t="s">
        <v>129</v>
      </c>
      <c r="F119" s="75">
        <v>0</v>
      </c>
      <c r="G119" s="30">
        <v>0</v>
      </c>
      <c r="H119" s="82">
        <v>0</v>
      </c>
      <c r="I119" s="82">
        <v>0</v>
      </c>
      <c r="J119" s="30" t="s">
        <v>142</v>
      </c>
      <c r="K119" s="85"/>
      <c r="L119" s="85"/>
      <c r="M119" s="85"/>
      <c r="N119" s="14" t="str">
        <f>IF(ANÁLISIS_EQUIPO[[#This Row],[PESO]]=0,"SIN IMPACTO",IF(G119&lt;=MAX(G$92:G$120)/4,"BAJO",
 IF(G119&lt;=MAX(G$92:G$120)/2,"MEDIO",
 IF(G119&lt;=MAX(G$92:G$120)*3/4,"ALTO","CRITICO"))))</f>
        <v>SIN IMPACTO</v>
      </c>
      <c r="O119" s="85"/>
    </row>
    <row r="120" spans="1:15" x14ac:dyDescent="0.25">
      <c r="A120" s="47" t="s">
        <v>153</v>
      </c>
      <c r="B120" s="47"/>
      <c r="C120" s="36" t="s">
        <v>149</v>
      </c>
      <c r="D120" s="45" t="s">
        <v>138</v>
      </c>
      <c r="E120" s="5" t="s">
        <v>31</v>
      </c>
      <c r="F120" s="75">
        <v>0</v>
      </c>
      <c r="G120" s="30">
        <v>0</v>
      </c>
      <c r="H120" s="82">
        <v>0.64687500000000009</v>
      </c>
      <c r="I120" s="82">
        <v>1.5093749999999999</v>
      </c>
      <c r="J120" s="30" t="s">
        <v>142</v>
      </c>
      <c r="K120" s="85"/>
      <c r="L120" s="85"/>
      <c r="M120" s="85"/>
      <c r="N120" s="14" t="str">
        <f>IF(ANÁLISIS_EQUIPO[[#This Row],[PESO]]=0,"SIN IMPACTO",IF(G120&lt;=MAX(G$92:G$120)/4,"BAJO",
 IF(G120&lt;=MAX(G$92:G$120)/2,"MEDIO",
 IF(G120&lt;=MAX(G$92:G$120)*3/4,"ALTO","CRITICO"))))</f>
        <v>SIN IMPACTO</v>
      </c>
      <c r="O120" s="85"/>
    </row>
    <row r="121" spans="1:15" hidden="1" x14ac:dyDescent="0.25">
      <c r="A121" s="39" t="s">
        <v>153</v>
      </c>
      <c r="B121" s="41"/>
      <c r="C121" s="42" t="s">
        <v>45</v>
      </c>
      <c r="D121" s="39" t="s">
        <v>182</v>
      </c>
      <c r="E121" s="42" t="s">
        <v>45</v>
      </c>
      <c r="F121" s="79">
        <v>0</v>
      </c>
      <c r="G121" s="44">
        <v>0</v>
      </c>
      <c r="H121" s="83">
        <v>46.575000000000003</v>
      </c>
      <c r="I121" s="83">
        <v>108.67499999999995</v>
      </c>
      <c r="J121" s="30" t="s">
        <v>142</v>
      </c>
      <c r="K121" s="85"/>
      <c r="L121" s="85"/>
      <c r="M121" s="85"/>
      <c r="N121" s="90"/>
      <c r="O121" s="91"/>
    </row>
    <row r="122" spans="1:15" x14ac:dyDescent="0.25">
      <c r="A122" s="47" t="s">
        <v>153</v>
      </c>
      <c r="B122" s="47"/>
      <c r="C122" s="35" t="s">
        <v>148</v>
      </c>
      <c r="D122" s="38" t="s">
        <v>139</v>
      </c>
      <c r="E122" s="9" t="s">
        <v>108</v>
      </c>
      <c r="F122" s="75">
        <v>0</v>
      </c>
      <c r="G122" s="30">
        <v>0</v>
      </c>
      <c r="H122" s="82">
        <v>1.9406250000000003</v>
      </c>
      <c r="I122" s="82">
        <v>2.5875000000000004</v>
      </c>
      <c r="J122" s="30" t="s">
        <v>142</v>
      </c>
      <c r="K122" s="85"/>
      <c r="L122" s="85"/>
      <c r="M122" s="85"/>
      <c r="N122" s="14" t="str">
        <f>IF(ANÁLISIS_EQUIPO[[#This Row],[PESO]]=0,"SIN IMPACTO",IF(G122&lt;=MAX(G$122:G$150)/4,"BAJO",
 IF(G122&lt;=MAX(G$122:G$150)/2,"MEDIO",
 IF(G122&lt;=MAX(G$122:G$150)*3/4,"ALTO","CRITICO"))))</f>
        <v>SIN IMPACTO</v>
      </c>
      <c r="O122" s="85"/>
    </row>
    <row r="123" spans="1:15" x14ac:dyDescent="0.25">
      <c r="A123" s="47" t="s">
        <v>153</v>
      </c>
      <c r="B123" s="47"/>
      <c r="C123" s="35" t="s">
        <v>148</v>
      </c>
      <c r="D123" s="38" t="s">
        <v>139</v>
      </c>
      <c r="E123" s="9" t="s">
        <v>109</v>
      </c>
      <c r="F123" s="75">
        <v>0</v>
      </c>
      <c r="G123" s="30">
        <v>0</v>
      </c>
      <c r="H123" s="82">
        <v>4.5281250000000002</v>
      </c>
      <c r="I123" s="82">
        <v>6.0375000000000014</v>
      </c>
      <c r="J123" s="30" t="s">
        <v>142</v>
      </c>
      <c r="K123" s="85"/>
      <c r="L123" s="85"/>
      <c r="M123" s="85"/>
      <c r="N123" s="14" t="str">
        <f>IF(ANÁLISIS_EQUIPO[[#This Row],[PESO]]=0,"SIN IMPACTO",IF(G123&lt;=MAX(G$122:G$150)/4,"BAJO",
 IF(G123&lt;=MAX(G$122:G$150)/2,"MEDIO",
 IF(G123&lt;=MAX(G$122:G$150)*3/4,"ALTO","CRITICO"))))</f>
        <v>SIN IMPACTO</v>
      </c>
      <c r="O123" s="85"/>
    </row>
    <row r="124" spans="1:15" x14ac:dyDescent="0.25">
      <c r="A124" s="47" t="s">
        <v>153</v>
      </c>
      <c r="B124" s="47"/>
      <c r="C124" s="35" t="s">
        <v>148</v>
      </c>
      <c r="D124" s="38" t="s">
        <v>139</v>
      </c>
      <c r="E124" s="9" t="s">
        <v>110</v>
      </c>
      <c r="F124" s="75">
        <v>0</v>
      </c>
      <c r="G124" s="30">
        <v>0</v>
      </c>
      <c r="H124" s="82">
        <v>2.5875000000000004</v>
      </c>
      <c r="I124" s="82">
        <v>3.4499999999999993</v>
      </c>
      <c r="J124" s="30" t="s">
        <v>142</v>
      </c>
      <c r="K124" s="85"/>
      <c r="L124" s="85"/>
      <c r="M124" s="85"/>
      <c r="N124" s="14" t="str">
        <f>IF(ANÁLISIS_EQUIPO[[#This Row],[PESO]]=0,"SIN IMPACTO",IF(G124&lt;=MAX(G$122:G$150)/4,"BAJO",
 IF(G124&lt;=MAX(G$122:G$150)/2,"MEDIO",
 IF(G124&lt;=MAX(G$122:G$150)*3/4,"ALTO","CRITICO"))))</f>
        <v>SIN IMPACTO</v>
      </c>
      <c r="O124" s="85"/>
    </row>
    <row r="125" spans="1:15" x14ac:dyDescent="0.25">
      <c r="A125" s="47" t="s">
        <v>153</v>
      </c>
      <c r="B125" s="47"/>
      <c r="C125" s="35" t="s">
        <v>148</v>
      </c>
      <c r="D125" s="38" t="s">
        <v>139</v>
      </c>
      <c r="E125" s="9" t="s">
        <v>111</v>
      </c>
      <c r="F125" s="75">
        <v>0</v>
      </c>
      <c r="G125" s="30">
        <v>0</v>
      </c>
      <c r="H125" s="82">
        <v>2.5875000000000004</v>
      </c>
      <c r="I125" s="82">
        <v>3.4499999999999993</v>
      </c>
      <c r="J125" s="30" t="s">
        <v>142</v>
      </c>
      <c r="K125" s="85"/>
      <c r="L125" s="85"/>
      <c r="M125" s="85"/>
      <c r="N125" s="14" t="str">
        <f>IF(ANÁLISIS_EQUIPO[[#This Row],[PESO]]=0,"SIN IMPACTO",IF(G125&lt;=MAX(G$122:G$150)/4,"BAJO",
 IF(G125&lt;=MAX(G$122:G$150)/2,"MEDIO",
 IF(G125&lt;=MAX(G$122:G$150)*3/4,"ALTO","CRITICO"))))</f>
        <v>SIN IMPACTO</v>
      </c>
      <c r="O125" s="85"/>
    </row>
    <row r="126" spans="1:15" x14ac:dyDescent="0.25">
      <c r="A126" s="47" t="s">
        <v>153</v>
      </c>
      <c r="B126" s="47"/>
      <c r="C126" s="35" t="s">
        <v>148</v>
      </c>
      <c r="D126" s="38" t="s">
        <v>139</v>
      </c>
      <c r="E126" s="9" t="s">
        <v>112</v>
      </c>
      <c r="F126" s="75">
        <v>0</v>
      </c>
      <c r="G126" s="30">
        <v>0</v>
      </c>
      <c r="H126" s="82">
        <v>5.1750000000000007</v>
      </c>
      <c r="I126" s="82">
        <v>6.8999999999999986</v>
      </c>
      <c r="J126" s="30" t="s">
        <v>142</v>
      </c>
      <c r="K126" s="85"/>
      <c r="L126" s="85"/>
      <c r="M126" s="85"/>
      <c r="N126" s="14" t="str">
        <f>IF(ANÁLISIS_EQUIPO[[#This Row],[PESO]]=0,"SIN IMPACTO",IF(G126&lt;=MAX(G$122:G$150)/4,"BAJO",
 IF(G126&lt;=MAX(G$122:G$150)/2,"MEDIO",
 IF(G126&lt;=MAX(G$122:G$150)*3/4,"ALTO","CRITICO"))))</f>
        <v>SIN IMPACTO</v>
      </c>
      <c r="O126" s="85"/>
    </row>
    <row r="127" spans="1:15" x14ac:dyDescent="0.25">
      <c r="A127" s="47" t="s">
        <v>153</v>
      </c>
      <c r="B127" s="47"/>
      <c r="C127" s="35" t="s">
        <v>148</v>
      </c>
      <c r="D127" s="38" t="s">
        <v>139</v>
      </c>
      <c r="E127" s="9" t="s">
        <v>113</v>
      </c>
      <c r="F127" s="75">
        <v>0</v>
      </c>
      <c r="G127" s="30">
        <v>0</v>
      </c>
      <c r="H127" s="82">
        <v>5.8218750000000004</v>
      </c>
      <c r="I127" s="82">
        <v>7.7625000000000028</v>
      </c>
      <c r="J127" s="30" t="s">
        <v>142</v>
      </c>
      <c r="K127" s="85"/>
      <c r="L127" s="85"/>
      <c r="M127" s="85"/>
      <c r="N127" s="14" t="str">
        <f>IF(ANÁLISIS_EQUIPO[[#This Row],[PESO]]=0,"SIN IMPACTO",IF(G127&lt;=MAX(G$122:G$150)/4,"BAJO",
 IF(G127&lt;=MAX(G$122:G$150)/2,"MEDIO",
 IF(G127&lt;=MAX(G$122:G$150)*3/4,"ALTO","CRITICO"))))</f>
        <v>SIN IMPACTO</v>
      </c>
      <c r="O127" s="85"/>
    </row>
    <row r="128" spans="1:15" x14ac:dyDescent="0.25">
      <c r="A128" s="47" t="s">
        <v>153</v>
      </c>
      <c r="B128" s="47"/>
      <c r="C128" s="35" t="s">
        <v>148</v>
      </c>
      <c r="D128" s="38" t="s">
        <v>139</v>
      </c>
      <c r="E128" s="9" t="s">
        <v>114</v>
      </c>
      <c r="F128" s="75">
        <v>0</v>
      </c>
      <c r="G128" s="30">
        <v>0</v>
      </c>
      <c r="H128" s="82">
        <v>6.46875</v>
      </c>
      <c r="I128" s="82">
        <v>8.625</v>
      </c>
      <c r="J128" s="30" t="s">
        <v>142</v>
      </c>
      <c r="K128" s="85"/>
      <c r="L128" s="85"/>
      <c r="M128" s="85"/>
      <c r="N128" s="14" t="str">
        <f>IF(ANÁLISIS_EQUIPO[[#This Row],[PESO]]=0,"SIN IMPACTO",IF(G128&lt;=MAX(G$122:G$150)/4,"BAJO",
 IF(G128&lt;=MAX(G$122:G$150)/2,"MEDIO",
 IF(G128&lt;=MAX(G$122:G$150)*3/4,"ALTO","CRITICO"))))</f>
        <v>SIN IMPACTO</v>
      </c>
      <c r="O128" s="85"/>
    </row>
    <row r="129" spans="1:15" x14ac:dyDescent="0.25">
      <c r="A129" s="47" t="s">
        <v>153</v>
      </c>
      <c r="B129" s="47"/>
      <c r="C129" s="35" t="s">
        <v>148</v>
      </c>
      <c r="D129" s="38" t="s">
        <v>139</v>
      </c>
      <c r="E129" s="9" t="s">
        <v>115</v>
      </c>
      <c r="F129" s="75">
        <v>0</v>
      </c>
      <c r="G129" s="30">
        <v>0</v>
      </c>
      <c r="H129" s="82">
        <v>3.234375</v>
      </c>
      <c r="I129" s="82">
        <v>4.3125</v>
      </c>
      <c r="J129" s="30" t="s">
        <v>142</v>
      </c>
      <c r="K129" s="85"/>
      <c r="L129" s="85"/>
      <c r="M129" s="85"/>
      <c r="N129" s="14" t="str">
        <f>IF(ANÁLISIS_EQUIPO[[#This Row],[PESO]]=0,"SIN IMPACTO",IF(G129&lt;=MAX(G$122:G$150)/4,"BAJO",
 IF(G129&lt;=MAX(G$122:G$150)/2,"MEDIO",
 IF(G129&lt;=MAX(G$122:G$150)*3/4,"ALTO","CRITICO"))))</f>
        <v>SIN IMPACTO</v>
      </c>
      <c r="O129" s="85"/>
    </row>
    <row r="130" spans="1:15" x14ac:dyDescent="0.25">
      <c r="A130" s="47" t="s">
        <v>153</v>
      </c>
      <c r="B130" s="47"/>
      <c r="C130" s="35" t="s">
        <v>148</v>
      </c>
      <c r="D130" s="38" t="s">
        <v>139</v>
      </c>
      <c r="E130" s="9" t="s">
        <v>116</v>
      </c>
      <c r="F130" s="75">
        <v>0</v>
      </c>
      <c r="G130" s="30">
        <v>0</v>
      </c>
      <c r="H130" s="82">
        <v>1.2937500000000002</v>
      </c>
      <c r="I130" s="82">
        <v>1.7249999999999996</v>
      </c>
      <c r="J130" s="30" t="s">
        <v>142</v>
      </c>
      <c r="K130" s="85"/>
      <c r="L130" s="85"/>
      <c r="M130" s="85"/>
      <c r="N130" s="14" t="str">
        <f>IF(ANÁLISIS_EQUIPO[[#This Row],[PESO]]=0,"SIN IMPACTO",IF(G130&lt;=MAX(G$122:G$150)/4,"BAJO",
 IF(G130&lt;=MAX(G$122:G$150)/2,"MEDIO",
 IF(G130&lt;=MAX(G$122:G$150)*3/4,"ALTO","CRITICO"))))</f>
        <v>SIN IMPACTO</v>
      </c>
      <c r="O130" s="85"/>
    </row>
    <row r="131" spans="1:15" x14ac:dyDescent="0.25">
      <c r="A131" s="47" t="s">
        <v>153</v>
      </c>
      <c r="B131" s="47"/>
      <c r="C131" s="35" t="s">
        <v>148</v>
      </c>
      <c r="D131" s="38" t="s">
        <v>139</v>
      </c>
      <c r="E131" s="9" t="s">
        <v>117</v>
      </c>
      <c r="F131" s="75">
        <v>0</v>
      </c>
      <c r="G131" s="30">
        <v>0</v>
      </c>
      <c r="H131" s="82">
        <v>2.5875000000000004</v>
      </c>
      <c r="I131" s="82">
        <v>3.4499999999999993</v>
      </c>
      <c r="J131" s="30" t="s">
        <v>142</v>
      </c>
      <c r="K131" s="85"/>
      <c r="L131" s="85"/>
      <c r="M131" s="85"/>
      <c r="N131" s="14" t="str">
        <f>IF(ANÁLISIS_EQUIPO[[#This Row],[PESO]]=0,"SIN IMPACTO",IF(G131&lt;=MAX(G$122:G$150)/4,"BAJO",
 IF(G131&lt;=MAX(G$122:G$150)/2,"MEDIO",
 IF(G131&lt;=MAX(G$122:G$150)*3/4,"ALTO","CRITICO"))))</f>
        <v>SIN IMPACTO</v>
      </c>
      <c r="O131" s="85"/>
    </row>
    <row r="132" spans="1:15" x14ac:dyDescent="0.25">
      <c r="A132" s="47" t="s">
        <v>153</v>
      </c>
      <c r="B132" s="47"/>
      <c r="C132" s="36" t="s">
        <v>62</v>
      </c>
      <c r="D132" s="45" t="s">
        <v>139</v>
      </c>
      <c r="E132" s="5" t="s">
        <v>118</v>
      </c>
      <c r="F132" s="75">
        <v>0</v>
      </c>
      <c r="G132" s="30">
        <v>0</v>
      </c>
      <c r="H132" s="82">
        <v>1.2937500000000002</v>
      </c>
      <c r="I132" s="82">
        <v>1.7249999999999996</v>
      </c>
      <c r="J132" s="30" t="s">
        <v>142</v>
      </c>
      <c r="K132" s="85"/>
      <c r="L132" s="85"/>
      <c r="M132" s="85"/>
      <c r="N132" s="14" t="str">
        <f>IF(ANÁLISIS_EQUIPO[[#This Row],[PESO]]=0,"SIN IMPACTO",IF(G132&lt;=MAX(G$122:G$150)/4,"BAJO",
 IF(G132&lt;=MAX(G$122:G$150)/2,"MEDIO",
 IF(G132&lt;=MAX(G$122:G$150)*3/4,"ALTO","CRITICO"))))</f>
        <v>SIN IMPACTO</v>
      </c>
      <c r="O132" s="85"/>
    </row>
    <row r="133" spans="1:15" x14ac:dyDescent="0.25">
      <c r="A133" s="47" t="s">
        <v>153</v>
      </c>
      <c r="B133" s="47"/>
      <c r="C133" s="36" t="s">
        <v>62</v>
      </c>
      <c r="D133" s="45" t="s">
        <v>139</v>
      </c>
      <c r="E133" s="5" t="s">
        <v>24</v>
      </c>
      <c r="F133" s="75">
        <v>0</v>
      </c>
      <c r="G133" s="30">
        <v>0</v>
      </c>
      <c r="H133" s="82">
        <v>0.64687500000000009</v>
      </c>
      <c r="I133" s="82">
        <v>0.86249999999999982</v>
      </c>
      <c r="J133" s="30" t="s">
        <v>142</v>
      </c>
      <c r="K133" s="85"/>
      <c r="L133" s="85"/>
      <c r="M133" s="85"/>
      <c r="N133" s="14" t="str">
        <f>IF(ANÁLISIS_EQUIPO[[#This Row],[PESO]]=0,"SIN IMPACTO",IF(G133&lt;=MAX(G$122:G$150)/4,"BAJO",
 IF(G133&lt;=MAX(G$122:G$150)/2,"MEDIO",
 IF(G133&lt;=MAX(G$122:G$150)*3/4,"ALTO","CRITICO"))))</f>
        <v>SIN IMPACTO</v>
      </c>
      <c r="O133" s="85"/>
    </row>
    <row r="134" spans="1:15" x14ac:dyDescent="0.25">
      <c r="A134" s="47" t="s">
        <v>153</v>
      </c>
      <c r="B134" s="47"/>
      <c r="C134" s="36" t="s">
        <v>62</v>
      </c>
      <c r="D134" s="45" t="s">
        <v>139</v>
      </c>
      <c r="E134" s="5" t="s">
        <v>25</v>
      </c>
      <c r="F134" s="75">
        <v>0</v>
      </c>
      <c r="G134" s="30">
        <v>0</v>
      </c>
      <c r="H134" s="82">
        <v>0</v>
      </c>
      <c r="I134" s="82">
        <v>0</v>
      </c>
      <c r="J134" s="30" t="s">
        <v>142</v>
      </c>
      <c r="K134" s="85"/>
      <c r="L134" s="85"/>
      <c r="M134" s="85"/>
      <c r="N134" s="14" t="str">
        <f>IF(ANÁLISIS_EQUIPO[[#This Row],[PESO]]=0,"SIN IMPACTO",IF(G134&lt;=MAX(G$122:G$150)/4,"BAJO",
 IF(G134&lt;=MAX(G$122:G$150)/2,"MEDIO",
 IF(G134&lt;=MAX(G$122:G$150)*3/4,"ALTO","CRITICO"))))</f>
        <v>SIN IMPACTO</v>
      </c>
      <c r="O134" s="85"/>
    </row>
    <row r="135" spans="1:15" x14ac:dyDescent="0.25">
      <c r="A135" s="47" t="s">
        <v>153</v>
      </c>
      <c r="B135" s="47"/>
      <c r="C135" s="36" t="s">
        <v>62</v>
      </c>
      <c r="D135" s="45" t="s">
        <v>139</v>
      </c>
      <c r="E135" s="5" t="s">
        <v>26</v>
      </c>
      <c r="F135" s="75">
        <v>0</v>
      </c>
      <c r="G135" s="30">
        <v>0</v>
      </c>
      <c r="H135" s="82">
        <v>0.64687500000000009</v>
      </c>
      <c r="I135" s="82">
        <v>0.86249999999999982</v>
      </c>
      <c r="J135" s="30" t="s">
        <v>142</v>
      </c>
      <c r="K135" s="85"/>
      <c r="L135" s="85"/>
      <c r="M135" s="85"/>
      <c r="N135" s="14" t="str">
        <f>IF(ANÁLISIS_EQUIPO[[#This Row],[PESO]]=0,"SIN IMPACTO",IF(G135&lt;=MAX(G$122:G$150)/4,"BAJO",
 IF(G135&lt;=MAX(G$122:G$150)/2,"MEDIO",
 IF(G135&lt;=MAX(G$122:G$150)*3/4,"ALTO","CRITICO"))))</f>
        <v>SIN IMPACTO</v>
      </c>
      <c r="O135" s="85"/>
    </row>
    <row r="136" spans="1:15" x14ac:dyDescent="0.25">
      <c r="A136" s="47" t="s">
        <v>153</v>
      </c>
      <c r="B136" s="47"/>
      <c r="C136" s="36" t="s">
        <v>62</v>
      </c>
      <c r="D136" s="45" t="s">
        <v>139</v>
      </c>
      <c r="E136" s="5" t="s">
        <v>27</v>
      </c>
      <c r="F136" s="75">
        <v>0</v>
      </c>
      <c r="G136" s="30">
        <v>0</v>
      </c>
      <c r="H136" s="82">
        <v>0</v>
      </c>
      <c r="I136" s="82">
        <v>0</v>
      </c>
      <c r="J136" s="30" t="s">
        <v>142</v>
      </c>
      <c r="K136" s="85"/>
      <c r="L136" s="85"/>
      <c r="M136" s="85"/>
      <c r="N136" s="14" t="str">
        <f>IF(ANÁLISIS_EQUIPO[[#This Row],[PESO]]=0,"SIN IMPACTO",IF(G136&lt;=MAX(G$122:G$150)/4,"BAJO",
 IF(G136&lt;=MAX(G$122:G$150)/2,"MEDIO",
 IF(G136&lt;=MAX(G$122:G$150)*3/4,"ALTO","CRITICO"))))</f>
        <v>SIN IMPACTO</v>
      </c>
      <c r="O136" s="85"/>
    </row>
    <row r="137" spans="1:15" x14ac:dyDescent="0.25">
      <c r="A137" s="47" t="s">
        <v>153</v>
      </c>
      <c r="B137" s="47"/>
      <c r="C137" s="36" t="s">
        <v>62</v>
      </c>
      <c r="D137" s="45" t="s">
        <v>139</v>
      </c>
      <c r="E137" s="5" t="s">
        <v>28</v>
      </c>
      <c r="F137" s="75">
        <v>0</v>
      </c>
      <c r="G137" s="30">
        <v>0</v>
      </c>
      <c r="H137" s="82">
        <v>1.9406250000000003</v>
      </c>
      <c r="I137" s="82">
        <v>2.5875000000000004</v>
      </c>
      <c r="J137" s="30" t="s">
        <v>142</v>
      </c>
      <c r="K137" s="85"/>
      <c r="L137" s="85"/>
      <c r="M137" s="85"/>
      <c r="N137" s="14" t="str">
        <f>IF(ANÁLISIS_EQUIPO[[#This Row],[PESO]]=0,"SIN IMPACTO",IF(G137&lt;=MAX(G$122:G$150)/4,"BAJO",
 IF(G137&lt;=MAX(G$122:G$150)/2,"MEDIO",
 IF(G137&lt;=MAX(G$122:G$150)*3/4,"ALTO","CRITICO"))))</f>
        <v>SIN IMPACTO</v>
      </c>
      <c r="O137" s="85"/>
    </row>
    <row r="138" spans="1:15" x14ac:dyDescent="0.25">
      <c r="A138" s="47" t="s">
        <v>153</v>
      </c>
      <c r="B138" s="47"/>
      <c r="C138" s="36" t="s">
        <v>62</v>
      </c>
      <c r="D138" s="45" t="s">
        <v>139</v>
      </c>
      <c r="E138" s="5" t="s">
        <v>119</v>
      </c>
      <c r="F138" s="75">
        <v>0</v>
      </c>
      <c r="G138" s="30">
        <v>0</v>
      </c>
      <c r="H138" s="82">
        <v>1.9406250000000003</v>
      </c>
      <c r="I138" s="82">
        <v>2.5875000000000004</v>
      </c>
      <c r="J138" s="30" t="s">
        <v>142</v>
      </c>
      <c r="K138" s="85"/>
      <c r="L138" s="85"/>
      <c r="M138" s="85"/>
      <c r="N138" s="14" t="str">
        <f>IF(ANÁLISIS_EQUIPO[[#This Row],[PESO]]=0,"SIN IMPACTO",IF(G138&lt;=MAX(G$122:G$150)/4,"BAJO",
 IF(G138&lt;=MAX(G$122:G$150)/2,"MEDIO",
 IF(G138&lt;=MAX(G$122:G$150)*3/4,"ALTO","CRITICO"))))</f>
        <v>SIN IMPACTO</v>
      </c>
      <c r="O138" s="85"/>
    </row>
    <row r="139" spans="1:15" x14ac:dyDescent="0.25">
      <c r="A139" s="47" t="s">
        <v>153</v>
      </c>
      <c r="B139" s="47"/>
      <c r="C139" s="36" t="s">
        <v>62</v>
      </c>
      <c r="D139" s="45" t="s">
        <v>139</v>
      </c>
      <c r="E139" s="5" t="s">
        <v>120</v>
      </c>
      <c r="F139" s="75">
        <v>0</v>
      </c>
      <c r="G139" s="30">
        <v>0</v>
      </c>
      <c r="H139" s="82">
        <v>0</v>
      </c>
      <c r="I139" s="82">
        <v>0</v>
      </c>
      <c r="J139" s="30" t="s">
        <v>142</v>
      </c>
      <c r="K139" s="85"/>
      <c r="L139" s="85"/>
      <c r="M139" s="85"/>
      <c r="N139" s="14" t="str">
        <f>IF(ANÁLISIS_EQUIPO[[#This Row],[PESO]]=0,"SIN IMPACTO",IF(G139&lt;=MAX(G$122:G$150)/4,"BAJO",
 IF(G139&lt;=MAX(G$122:G$150)/2,"MEDIO",
 IF(G139&lt;=MAX(G$122:G$150)*3/4,"ALTO","CRITICO"))))</f>
        <v>SIN IMPACTO</v>
      </c>
      <c r="O139" s="85"/>
    </row>
    <row r="140" spans="1:15" x14ac:dyDescent="0.25">
      <c r="A140" s="47" t="s">
        <v>153</v>
      </c>
      <c r="B140" s="47"/>
      <c r="C140" s="36" t="s">
        <v>62</v>
      </c>
      <c r="D140" s="45" t="s">
        <v>139</v>
      </c>
      <c r="E140" s="5" t="s">
        <v>121</v>
      </c>
      <c r="F140" s="75">
        <v>0</v>
      </c>
      <c r="G140" s="30">
        <v>0</v>
      </c>
      <c r="H140" s="82">
        <v>0</v>
      </c>
      <c r="I140" s="82">
        <v>0</v>
      </c>
      <c r="J140" s="30" t="s">
        <v>142</v>
      </c>
      <c r="K140" s="85"/>
      <c r="L140" s="85"/>
      <c r="M140" s="85"/>
      <c r="N140" s="14" t="str">
        <f>IF(ANÁLISIS_EQUIPO[[#This Row],[PESO]]=0,"SIN IMPACTO",IF(G140&lt;=MAX(G$122:G$150)/4,"BAJO",
 IF(G140&lt;=MAX(G$122:G$150)/2,"MEDIO",
 IF(G140&lt;=MAX(G$122:G$150)*3/4,"ALTO","CRITICO"))))</f>
        <v>SIN IMPACTO</v>
      </c>
      <c r="O140" s="85"/>
    </row>
    <row r="141" spans="1:15" x14ac:dyDescent="0.25">
      <c r="A141" s="47" t="s">
        <v>153</v>
      </c>
      <c r="B141" s="47"/>
      <c r="C141" s="36" t="s">
        <v>62</v>
      </c>
      <c r="D141" s="45" t="s">
        <v>139</v>
      </c>
      <c r="E141" s="5" t="s">
        <v>122</v>
      </c>
      <c r="F141" s="75">
        <v>0</v>
      </c>
      <c r="G141" s="30">
        <v>0</v>
      </c>
      <c r="H141" s="82">
        <v>0</v>
      </c>
      <c r="I141" s="82">
        <v>0</v>
      </c>
      <c r="J141" s="30" t="s">
        <v>142</v>
      </c>
      <c r="K141" s="85"/>
      <c r="L141" s="85"/>
      <c r="M141" s="85"/>
      <c r="N141" s="14" t="str">
        <f>IF(ANÁLISIS_EQUIPO[[#This Row],[PESO]]=0,"SIN IMPACTO",IF(G141&lt;=MAX(G$122:G$150)/4,"BAJO",
 IF(G141&lt;=MAX(G$122:G$150)/2,"MEDIO",
 IF(G141&lt;=MAX(G$122:G$150)*3/4,"ALTO","CRITICO"))))</f>
        <v>SIN IMPACTO</v>
      </c>
      <c r="O141" s="85"/>
    </row>
    <row r="142" spans="1:15" x14ac:dyDescent="0.25">
      <c r="A142" s="47" t="s">
        <v>153</v>
      </c>
      <c r="B142" s="47"/>
      <c r="C142" s="48" t="s">
        <v>150</v>
      </c>
      <c r="D142" s="46" t="s">
        <v>139</v>
      </c>
      <c r="E142" s="10" t="s">
        <v>123</v>
      </c>
      <c r="F142" s="75">
        <v>0</v>
      </c>
      <c r="G142" s="30">
        <v>0</v>
      </c>
      <c r="H142" s="82">
        <v>2.5875000000000004</v>
      </c>
      <c r="I142" s="82">
        <v>3.4499999999999993</v>
      </c>
      <c r="J142" s="30" t="s">
        <v>142</v>
      </c>
      <c r="K142" s="85"/>
      <c r="L142" s="85"/>
      <c r="M142" s="85"/>
      <c r="N142" s="14" t="str">
        <f>IF(ANÁLISIS_EQUIPO[[#This Row],[PESO]]=0,"SIN IMPACTO",IF(G142&lt;=MAX(G$122:G$150)/4,"BAJO",
 IF(G142&lt;=MAX(G$122:G$150)/2,"MEDIO",
 IF(G142&lt;=MAX(G$122:G$150)*3/4,"ALTO","CRITICO"))))</f>
        <v>SIN IMPACTO</v>
      </c>
      <c r="O142" s="85"/>
    </row>
    <row r="143" spans="1:15" x14ac:dyDescent="0.25">
      <c r="A143" s="47" t="s">
        <v>153</v>
      </c>
      <c r="B143" s="47"/>
      <c r="C143" s="48" t="s">
        <v>150</v>
      </c>
      <c r="D143" s="46" t="s">
        <v>139</v>
      </c>
      <c r="E143" s="10" t="s">
        <v>124</v>
      </c>
      <c r="F143" s="75">
        <v>0</v>
      </c>
      <c r="G143" s="30">
        <v>0</v>
      </c>
      <c r="H143" s="82">
        <v>0.64687500000000009</v>
      </c>
      <c r="I143" s="82">
        <v>0.86249999999999982</v>
      </c>
      <c r="J143" s="30" t="s">
        <v>142</v>
      </c>
      <c r="K143" s="85"/>
      <c r="L143" s="85"/>
      <c r="M143" s="85"/>
      <c r="N143" s="14" t="str">
        <f>IF(ANÁLISIS_EQUIPO[[#This Row],[PESO]]=0,"SIN IMPACTO",IF(G143&lt;=MAX(G$122:G$150)/4,"BAJO",
 IF(G143&lt;=MAX(G$122:G$150)/2,"MEDIO",
 IF(G143&lt;=MAX(G$122:G$150)*3/4,"ALTO","CRITICO"))))</f>
        <v>SIN IMPACTO</v>
      </c>
      <c r="O143" s="85"/>
    </row>
    <row r="144" spans="1:15" x14ac:dyDescent="0.25">
      <c r="A144" s="47" t="s">
        <v>153</v>
      </c>
      <c r="B144" s="47"/>
      <c r="C144" s="48" t="s">
        <v>150</v>
      </c>
      <c r="D144" s="46" t="s">
        <v>139</v>
      </c>
      <c r="E144" s="10" t="s">
        <v>125</v>
      </c>
      <c r="F144" s="75">
        <v>0</v>
      </c>
      <c r="G144" s="30">
        <v>0</v>
      </c>
      <c r="H144" s="82">
        <v>0</v>
      </c>
      <c r="I144" s="82">
        <v>0</v>
      </c>
      <c r="J144" s="30" t="s">
        <v>142</v>
      </c>
      <c r="K144" s="85"/>
      <c r="L144" s="85"/>
      <c r="M144" s="85"/>
      <c r="N144" s="14" t="str">
        <f>IF(ANÁLISIS_EQUIPO[[#This Row],[PESO]]=0,"SIN IMPACTO",IF(G144&lt;=MAX(G$122:G$150)/4,"BAJO",
 IF(G144&lt;=MAX(G$122:G$150)/2,"MEDIO",
 IF(G144&lt;=MAX(G$122:G$150)*3/4,"ALTO","CRITICO"))))</f>
        <v>SIN IMPACTO</v>
      </c>
      <c r="O144" s="85"/>
    </row>
    <row r="145" spans="1:15" x14ac:dyDescent="0.25">
      <c r="A145" s="47" t="s">
        <v>153</v>
      </c>
      <c r="B145" s="47"/>
      <c r="C145" s="48" t="s">
        <v>150</v>
      </c>
      <c r="D145" s="46" t="s">
        <v>139</v>
      </c>
      <c r="E145" s="10" t="s">
        <v>126</v>
      </c>
      <c r="F145" s="75">
        <v>0</v>
      </c>
      <c r="G145" s="30">
        <v>0</v>
      </c>
      <c r="H145" s="82">
        <v>0</v>
      </c>
      <c r="I145" s="82">
        <v>0</v>
      </c>
      <c r="J145" s="30" t="s">
        <v>142</v>
      </c>
      <c r="K145" s="85"/>
      <c r="L145" s="85"/>
      <c r="M145" s="85"/>
      <c r="N145" s="14" t="str">
        <f>IF(ANÁLISIS_EQUIPO[[#This Row],[PESO]]=0,"SIN IMPACTO",IF(G145&lt;=MAX(G$122:G$150)/4,"BAJO",
 IF(G145&lt;=MAX(G$122:G$150)/2,"MEDIO",
 IF(G145&lt;=MAX(G$122:G$150)*3/4,"ALTO","CRITICO"))))</f>
        <v>SIN IMPACTO</v>
      </c>
      <c r="O145" s="85"/>
    </row>
    <row r="146" spans="1:15" x14ac:dyDescent="0.25">
      <c r="A146" s="47" t="s">
        <v>153</v>
      </c>
      <c r="B146" s="47"/>
      <c r="C146" s="48" t="s">
        <v>150</v>
      </c>
      <c r="D146" s="46" t="s">
        <v>139</v>
      </c>
      <c r="E146" s="10" t="s">
        <v>127</v>
      </c>
      <c r="F146" s="75">
        <v>0</v>
      </c>
      <c r="G146" s="30">
        <v>0</v>
      </c>
      <c r="H146" s="82">
        <v>0</v>
      </c>
      <c r="I146" s="82">
        <v>0</v>
      </c>
      <c r="J146" s="30" t="s">
        <v>142</v>
      </c>
      <c r="K146" s="85"/>
      <c r="L146" s="85"/>
      <c r="M146" s="85"/>
      <c r="N146" s="14" t="str">
        <f>IF(ANÁLISIS_EQUIPO[[#This Row],[PESO]]=0,"SIN IMPACTO",IF(G146&lt;=MAX(G$122:G$150)/4,"BAJO",
 IF(G146&lt;=MAX(G$122:G$150)/2,"MEDIO",
 IF(G146&lt;=MAX(G$122:G$150)*3/4,"ALTO","CRITICO"))))</f>
        <v>SIN IMPACTO</v>
      </c>
      <c r="O146" s="85"/>
    </row>
    <row r="147" spans="1:15" x14ac:dyDescent="0.25">
      <c r="A147" s="47" t="s">
        <v>153</v>
      </c>
      <c r="B147" s="47"/>
      <c r="C147" s="48" t="s">
        <v>150</v>
      </c>
      <c r="D147" s="46" t="s">
        <v>139</v>
      </c>
      <c r="E147" s="10" t="s">
        <v>30</v>
      </c>
      <c r="F147" s="75">
        <v>0</v>
      </c>
      <c r="G147" s="30">
        <v>0</v>
      </c>
      <c r="H147" s="82">
        <v>0</v>
      </c>
      <c r="I147" s="82">
        <v>0</v>
      </c>
      <c r="J147" s="30" t="s">
        <v>142</v>
      </c>
      <c r="K147" s="85"/>
      <c r="L147" s="85"/>
      <c r="M147" s="85"/>
      <c r="N147" s="14" t="str">
        <f>IF(ANÁLISIS_EQUIPO[[#This Row],[PESO]]=0,"SIN IMPACTO",IF(G147&lt;=MAX(G$122:G$150)/4,"BAJO",
 IF(G147&lt;=MAX(G$122:G$150)/2,"MEDIO",
 IF(G147&lt;=MAX(G$122:G$150)*3/4,"ALTO","CRITICO"))))</f>
        <v>SIN IMPACTO</v>
      </c>
      <c r="O147" s="85"/>
    </row>
    <row r="148" spans="1:15" x14ac:dyDescent="0.25">
      <c r="A148" s="47" t="s">
        <v>153</v>
      </c>
      <c r="B148" s="47"/>
      <c r="C148" s="36" t="s">
        <v>149</v>
      </c>
      <c r="D148" s="45" t="s">
        <v>139</v>
      </c>
      <c r="E148" s="5" t="s">
        <v>128</v>
      </c>
      <c r="F148" s="75">
        <v>0</v>
      </c>
      <c r="G148" s="30">
        <v>0</v>
      </c>
      <c r="H148" s="82">
        <v>0</v>
      </c>
      <c r="I148" s="82">
        <v>0</v>
      </c>
      <c r="J148" s="30" t="s">
        <v>142</v>
      </c>
      <c r="K148" s="85"/>
      <c r="L148" s="85"/>
      <c r="M148" s="85"/>
      <c r="N148" s="14" t="str">
        <f>IF(ANÁLISIS_EQUIPO[[#This Row],[PESO]]=0,"SIN IMPACTO",IF(G148&lt;=MAX(G$122:G$150)/4,"BAJO",
 IF(G148&lt;=MAX(G$122:G$150)/2,"MEDIO",
 IF(G148&lt;=MAX(G$122:G$150)*3/4,"ALTO","CRITICO"))))</f>
        <v>SIN IMPACTO</v>
      </c>
      <c r="O148" s="85"/>
    </row>
    <row r="149" spans="1:15" x14ac:dyDescent="0.25">
      <c r="A149" s="47" t="s">
        <v>153</v>
      </c>
      <c r="B149" s="47"/>
      <c r="C149" s="36" t="s">
        <v>149</v>
      </c>
      <c r="D149" s="45" t="s">
        <v>139</v>
      </c>
      <c r="E149" s="5" t="s">
        <v>129</v>
      </c>
      <c r="F149" s="75">
        <v>0</v>
      </c>
      <c r="G149" s="30">
        <v>0</v>
      </c>
      <c r="H149" s="82">
        <v>0</v>
      </c>
      <c r="I149" s="82">
        <v>0</v>
      </c>
      <c r="J149" s="30" t="s">
        <v>142</v>
      </c>
      <c r="K149" s="85"/>
      <c r="L149" s="85"/>
      <c r="M149" s="85"/>
      <c r="N149" s="14" t="str">
        <f>IF(ANÁLISIS_EQUIPO[[#This Row],[PESO]]=0,"SIN IMPACTO",IF(G149&lt;=MAX(G$122:G$150)/4,"BAJO",
 IF(G149&lt;=MAX(G$122:G$150)/2,"MEDIO",
 IF(G149&lt;=MAX(G$122:G$150)*3/4,"ALTO","CRITICO"))))</f>
        <v>SIN IMPACTO</v>
      </c>
      <c r="O149" s="85"/>
    </row>
    <row r="150" spans="1:15" x14ac:dyDescent="0.25">
      <c r="A150" s="47" t="s">
        <v>153</v>
      </c>
      <c r="B150" s="47"/>
      <c r="C150" s="36" t="s">
        <v>149</v>
      </c>
      <c r="D150" s="45" t="s">
        <v>139</v>
      </c>
      <c r="E150" s="5" t="s">
        <v>31</v>
      </c>
      <c r="F150" s="75">
        <v>0</v>
      </c>
      <c r="G150" s="30">
        <v>0</v>
      </c>
      <c r="H150" s="82">
        <v>0.64687500000000009</v>
      </c>
      <c r="I150" s="82">
        <v>0.86249999999999982</v>
      </c>
      <c r="J150" s="30" t="s">
        <v>142</v>
      </c>
      <c r="K150" s="85"/>
      <c r="L150" s="85"/>
      <c r="M150" s="85"/>
      <c r="N150" s="14" t="str">
        <f>IF(ANÁLISIS_EQUIPO[[#This Row],[PESO]]=0,"SIN IMPACTO",IF(G150&lt;=MAX(G$122:G$150)/4,"BAJO",
 IF(G150&lt;=MAX(G$122:G$150)/2,"MEDIO",
 IF(G150&lt;=MAX(G$122:G$150)*3/4,"ALTO","CRITICO"))))</f>
        <v>SIN IMPACTO</v>
      </c>
      <c r="O150" s="85"/>
    </row>
    <row r="151" spans="1:15" hidden="1" x14ac:dyDescent="0.25">
      <c r="A151" s="39" t="s">
        <v>153</v>
      </c>
      <c r="B151" s="41"/>
      <c r="C151" s="42" t="s">
        <v>45</v>
      </c>
      <c r="D151" s="39" t="s">
        <v>183</v>
      </c>
      <c r="E151" s="42" t="s">
        <v>45</v>
      </c>
      <c r="F151" s="79">
        <v>0</v>
      </c>
      <c r="G151" s="44">
        <v>0</v>
      </c>
      <c r="H151" s="83">
        <v>46.575000000000003</v>
      </c>
      <c r="I151" s="83">
        <v>62.099999999999966</v>
      </c>
      <c r="J151" s="30" t="s">
        <v>142</v>
      </c>
      <c r="K151" s="85"/>
      <c r="L151" s="85"/>
      <c r="M151" s="85"/>
      <c r="N151" s="90"/>
      <c r="O151" s="91"/>
    </row>
  </sheetData>
  <autoFilter ref="N1:N30" xr:uid="{1D755BE2-F414-4CEC-BCAD-65FE9158A8F9}"/>
  <conditionalFormatting sqref="N1:N1048576">
    <cfRule type="containsText" dxfId="16" priority="1" operator="containsText" text="SIN IMPACTO">
      <formula>NOT(ISERROR(SEARCH("SIN IMPACTO",N1)))</formula>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46" operator="containsText" id="{AB5FB1BE-E748-46B0-AFF0-B01A462AF68D}">
            <xm:f>NOT(ISERROR(SEARCH(#REF!,J32)))</xm:f>
            <xm:f>#REF!</xm:f>
            <x14:dxf>
              <font>
                <color theme="0"/>
              </font>
              <fill>
                <patternFill>
                  <bgColor rgb="FFC00000"/>
                </patternFill>
              </fill>
            </x14:dxf>
          </x14:cfRule>
          <x14:cfRule type="containsText" priority="47" operator="containsText" id="{7AB57163-8456-4B19-931E-C6D7E7F16B39}">
            <xm:f>NOT(ISERROR(SEARCH($M$1,J32)))</xm:f>
            <xm:f>$M$1</xm:f>
            <x14:dxf>
              <font>
                <color theme="0"/>
              </font>
              <fill>
                <patternFill>
                  <bgColor theme="9" tint="-0.24994659260841701"/>
                </patternFill>
              </fill>
            </x14:dxf>
          </x14:cfRule>
          <x14:cfRule type="containsText" priority="48" operator="containsText" id="{22E6A60A-3B37-46F4-87D5-2C727A3611A1}">
            <xm:f>NOT(ISERROR(SEARCH($L$1,J32)))</xm:f>
            <xm:f>$L$1</xm:f>
            <x14:dxf>
              <fill>
                <patternFill>
                  <bgColor rgb="FFFFFF00"/>
                </patternFill>
              </fill>
            </x14:dxf>
          </x14:cfRule>
          <xm:sqref>J32:J151</xm:sqref>
        </x14:conditionalFormatting>
        <x14:conditionalFormatting xmlns:xm="http://schemas.microsoft.com/office/excel/2006/main">
          <x14:cfRule type="containsText" priority="2" operator="containsText" id="{92AAD3EA-B56D-480D-88F6-64487EC5A898}">
            <xm:f>NOT(ISERROR(SEARCH($Q$9,N1)))</xm:f>
            <xm:f>$Q$9</xm:f>
            <x14:dxf>
              <font>
                <b/>
                <i val="0"/>
              </font>
              <fill>
                <patternFill>
                  <bgColor theme="9" tint="0.39994506668294322"/>
                </patternFill>
              </fill>
            </x14:dxf>
          </x14:cfRule>
          <x14:cfRule type="containsText" priority="3" operator="containsText" id="{13CC2769-2AF6-4EE9-8218-08C2392E98CE}">
            <xm:f>NOT(ISERROR(SEARCH($Q$8,N1)))</xm:f>
            <xm:f>$Q$8</xm:f>
            <x14:dxf>
              <font>
                <b/>
                <i val="0"/>
                <color theme="1"/>
              </font>
              <fill>
                <patternFill>
                  <bgColor rgb="FFFFFF00"/>
                </patternFill>
              </fill>
            </x14:dxf>
          </x14:cfRule>
          <x14:cfRule type="containsText" priority="4" operator="containsText" id="{9EE09545-933A-4CD2-889D-48E7FBE576B3}">
            <xm:f>NOT(ISERROR(SEARCH($Q$7,N1)))</xm:f>
            <xm:f>$Q$7</xm:f>
            <x14:dxf>
              <font>
                <b/>
                <i val="0"/>
                <color auto="1"/>
              </font>
              <fill>
                <patternFill>
                  <bgColor rgb="FFFFC000"/>
                </patternFill>
              </fill>
            </x14:dxf>
          </x14:cfRule>
          <x14:cfRule type="containsText" priority="5" operator="containsText" id="{84FB8C6A-668D-465E-8E2F-1A35C50E934D}">
            <xm:f>NOT(ISERROR(SEARCH($Q$6,N1)))</xm:f>
            <xm:f>$Q$6</xm:f>
            <x14:dxf>
              <font>
                <b/>
                <i val="0"/>
                <color theme="0"/>
              </font>
              <fill>
                <patternFill>
                  <bgColor rgb="FFC00000"/>
                </patternFill>
              </fill>
            </x14:dxf>
          </x14:cfRule>
          <xm:sqref>N1:N1048576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03BC-DAC0-4BF6-A1E7-B0568B8BF410}">
  <sheetPr codeName="Hoja6">
    <tabColor theme="9" tint="-0.499984740745262"/>
  </sheetPr>
  <dimension ref="A1:O451"/>
  <sheetViews>
    <sheetView zoomScale="80" zoomScaleNormal="80" workbookViewId="0">
      <pane ySplit="1" topLeftCell="A2" activePane="bottomLeft" state="frozen"/>
      <selection pane="bottomLeft" activeCell="C46" sqref="C46"/>
    </sheetView>
  </sheetViews>
  <sheetFormatPr baseColWidth="10" defaultRowHeight="15" x14ac:dyDescent="0.25"/>
  <cols>
    <col min="1" max="1" width="20.42578125" bestFit="1" customWidth="1"/>
    <col min="2" max="2" width="34.7109375" bestFit="1" customWidth="1"/>
    <col min="4" max="4" width="25.85546875" customWidth="1"/>
    <col min="5" max="5" width="18.28515625" style="6" bestFit="1" customWidth="1"/>
    <col min="6" max="6" width="54.7109375" customWidth="1"/>
    <col min="7" max="7" width="13.42578125" style="80" bestFit="1" customWidth="1"/>
    <col min="8" max="8" width="11.42578125" style="53"/>
    <col min="9" max="9" width="11.42578125" style="80"/>
    <col min="10" max="10" width="17.85546875" style="80" bestFit="1" customWidth="1"/>
    <col min="11" max="11" width="13" bestFit="1" customWidth="1"/>
    <col min="13" max="13" width="12.85546875" bestFit="1" customWidth="1"/>
  </cols>
  <sheetData>
    <row r="1" spans="1:15" s="49" customFormat="1" ht="30" x14ac:dyDescent="0.25">
      <c r="A1" s="11" t="s">
        <v>152</v>
      </c>
      <c r="B1" s="11" t="s">
        <v>175</v>
      </c>
      <c r="C1" s="11" t="s">
        <v>140</v>
      </c>
      <c r="D1" s="11" t="s">
        <v>146</v>
      </c>
      <c r="E1" s="11" t="s">
        <v>151</v>
      </c>
      <c r="F1" s="11" t="s">
        <v>215</v>
      </c>
      <c r="G1" s="74" t="s">
        <v>147</v>
      </c>
      <c r="H1" s="52" t="s">
        <v>74</v>
      </c>
      <c r="I1" s="81" t="s">
        <v>61</v>
      </c>
      <c r="J1" s="81" t="s">
        <v>145</v>
      </c>
      <c r="K1" s="25" t="s">
        <v>141</v>
      </c>
      <c r="M1" s="50" t="s">
        <v>143</v>
      </c>
      <c r="N1" s="11" t="s">
        <v>142</v>
      </c>
      <c r="O1" s="51" t="s">
        <v>144</v>
      </c>
    </row>
    <row r="2" spans="1:15" x14ac:dyDescent="0.25">
      <c r="A2" s="47" t="s">
        <v>153</v>
      </c>
      <c r="B2" s="47" t="s">
        <v>176</v>
      </c>
      <c r="C2" s="47">
        <v>45917</v>
      </c>
      <c r="D2" s="35" t="s">
        <v>148</v>
      </c>
      <c r="E2" s="38" t="s">
        <v>135</v>
      </c>
      <c r="F2" s="9" t="s">
        <v>108</v>
      </c>
      <c r="G2" s="75" cm="1">
        <f t="array" ref="G2:G30">TRANSPOSE(DIAGNÓSTICO!P7:AR7)</f>
        <v>0</v>
      </c>
      <c r="H2" s="30">
        <f>IFERROR((G2/$G$31),0)</f>
        <v>0</v>
      </c>
      <c r="I2" s="82">
        <f>((G2)-(G2/4))</f>
        <v>0</v>
      </c>
      <c r="J2" s="82">
        <f>G2-I2</f>
        <v>0</v>
      </c>
      <c r="K2" s="30"/>
    </row>
    <row r="3" spans="1:15" x14ac:dyDescent="0.25">
      <c r="A3" s="47" t="s">
        <v>153</v>
      </c>
      <c r="B3" s="47" t="s">
        <v>176</v>
      </c>
      <c r="C3" s="47">
        <v>45917</v>
      </c>
      <c r="D3" s="35" t="s">
        <v>148</v>
      </c>
      <c r="E3" s="38" t="s">
        <v>135</v>
      </c>
      <c r="F3" s="9" t="s">
        <v>109</v>
      </c>
      <c r="G3" s="75">
        <v>10.350000000000001</v>
      </c>
      <c r="H3" s="30">
        <f t="shared" ref="H3:H30" si="0">IFERROR((G3/$G$31),0)</f>
        <v>0.1111111111111111</v>
      </c>
      <c r="I3" s="82">
        <f t="shared" ref="I3:I30" si="1">((G3)-(G3/4))</f>
        <v>7.7625000000000011</v>
      </c>
      <c r="J3" s="82">
        <f t="shared" ref="J3:J30" si="2">G3-I3</f>
        <v>2.5875000000000004</v>
      </c>
      <c r="K3" s="30"/>
    </row>
    <row r="4" spans="1:15" x14ac:dyDescent="0.25">
      <c r="A4" s="47" t="s">
        <v>153</v>
      </c>
      <c r="B4" s="47" t="s">
        <v>176</v>
      </c>
      <c r="C4" s="47">
        <v>45917</v>
      </c>
      <c r="D4" s="35" t="s">
        <v>148</v>
      </c>
      <c r="E4" s="38" t="s">
        <v>135</v>
      </c>
      <c r="F4" s="9" t="s">
        <v>110</v>
      </c>
      <c r="G4" s="75">
        <v>0</v>
      </c>
      <c r="H4" s="30">
        <f t="shared" si="0"/>
        <v>0</v>
      </c>
      <c r="I4" s="82">
        <f t="shared" si="1"/>
        <v>0</v>
      </c>
      <c r="J4" s="82">
        <f t="shared" si="2"/>
        <v>0</v>
      </c>
      <c r="K4" s="30"/>
    </row>
    <row r="5" spans="1:15" x14ac:dyDescent="0.25">
      <c r="A5" s="47" t="s">
        <v>153</v>
      </c>
      <c r="B5" s="47" t="s">
        <v>176</v>
      </c>
      <c r="C5" s="47">
        <v>45917</v>
      </c>
      <c r="D5" s="35" t="s">
        <v>148</v>
      </c>
      <c r="E5" s="38" t="s">
        <v>135</v>
      </c>
      <c r="F5" s="9" t="s">
        <v>111</v>
      </c>
      <c r="G5" s="75">
        <v>0</v>
      </c>
      <c r="H5" s="30">
        <f t="shared" si="0"/>
        <v>0</v>
      </c>
      <c r="I5" s="82">
        <f t="shared" si="1"/>
        <v>0</v>
      </c>
      <c r="J5" s="82">
        <f t="shared" si="2"/>
        <v>0</v>
      </c>
      <c r="K5" s="30"/>
    </row>
    <row r="6" spans="1:15" x14ac:dyDescent="0.25">
      <c r="A6" s="47" t="s">
        <v>153</v>
      </c>
      <c r="B6" s="47" t="s">
        <v>176</v>
      </c>
      <c r="C6" s="47">
        <v>45917</v>
      </c>
      <c r="D6" s="35" t="s">
        <v>148</v>
      </c>
      <c r="E6" s="38" t="s">
        <v>135</v>
      </c>
      <c r="F6" s="9" t="s">
        <v>112</v>
      </c>
      <c r="G6" s="75">
        <v>13.8</v>
      </c>
      <c r="H6" s="30">
        <f t="shared" si="0"/>
        <v>0.14814814814814811</v>
      </c>
      <c r="I6" s="82">
        <f t="shared" si="1"/>
        <v>10.350000000000001</v>
      </c>
      <c r="J6" s="82">
        <f t="shared" si="2"/>
        <v>3.4499999999999993</v>
      </c>
      <c r="K6" s="30"/>
    </row>
    <row r="7" spans="1:15" x14ac:dyDescent="0.25">
      <c r="A7" s="47" t="s">
        <v>153</v>
      </c>
      <c r="B7" s="47" t="s">
        <v>176</v>
      </c>
      <c r="C7" s="47">
        <v>45917</v>
      </c>
      <c r="D7" s="35" t="s">
        <v>148</v>
      </c>
      <c r="E7" s="38" t="s">
        <v>135</v>
      </c>
      <c r="F7" s="9" t="s">
        <v>113</v>
      </c>
      <c r="G7" s="75">
        <v>13.8</v>
      </c>
      <c r="H7" s="30">
        <f t="shared" si="0"/>
        <v>0.14814814814814811</v>
      </c>
      <c r="I7" s="82">
        <f t="shared" si="1"/>
        <v>10.350000000000001</v>
      </c>
      <c r="J7" s="82">
        <f t="shared" si="2"/>
        <v>3.4499999999999993</v>
      </c>
      <c r="K7" s="30"/>
    </row>
    <row r="8" spans="1:15" x14ac:dyDescent="0.25">
      <c r="A8" s="47" t="s">
        <v>153</v>
      </c>
      <c r="B8" s="47" t="s">
        <v>176</v>
      </c>
      <c r="C8" s="47">
        <v>45917</v>
      </c>
      <c r="D8" s="35" t="s">
        <v>148</v>
      </c>
      <c r="E8" s="38" t="s">
        <v>135</v>
      </c>
      <c r="F8" s="9" t="s">
        <v>114</v>
      </c>
      <c r="G8" s="75">
        <v>17.25</v>
      </c>
      <c r="H8" s="30">
        <f t="shared" si="0"/>
        <v>0.18518518518518515</v>
      </c>
      <c r="I8" s="82">
        <f t="shared" si="1"/>
        <v>12.9375</v>
      </c>
      <c r="J8" s="82">
        <f t="shared" si="2"/>
        <v>4.3125</v>
      </c>
      <c r="K8" s="30"/>
    </row>
    <row r="9" spans="1:15" x14ac:dyDescent="0.25">
      <c r="A9" s="47" t="s">
        <v>153</v>
      </c>
      <c r="B9" s="47" t="s">
        <v>176</v>
      </c>
      <c r="C9" s="47">
        <v>45917</v>
      </c>
      <c r="D9" s="35" t="s">
        <v>148</v>
      </c>
      <c r="E9" s="38" t="s">
        <v>135</v>
      </c>
      <c r="F9" s="9" t="s">
        <v>115</v>
      </c>
      <c r="G9" s="75">
        <v>13.8</v>
      </c>
      <c r="H9" s="30">
        <f t="shared" si="0"/>
        <v>0.14814814814814811</v>
      </c>
      <c r="I9" s="82">
        <f t="shared" si="1"/>
        <v>10.350000000000001</v>
      </c>
      <c r="J9" s="82">
        <f t="shared" si="2"/>
        <v>3.4499999999999993</v>
      </c>
      <c r="K9" s="30"/>
    </row>
    <row r="10" spans="1:15" x14ac:dyDescent="0.25">
      <c r="A10" s="47" t="s">
        <v>153</v>
      </c>
      <c r="B10" s="47" t="s">
        <v>176</v>
      </c>
      <c r="C10" s="47">
        <v>45917</v>
      </c>
      <c r="D10" s="35" t="s">
        <v>148</v>
      </c>
      <c r="E10" s="38" t="s">
        <v>135</v>
      </c>
      <c r="F10" s="9" t="s">
        <v>116</v>
      </c>
      <c r="G10" s="75">
        <v>3.45</v>
      </c>
      <c r="H10" s="30">
        <f t="shared" si="0"/>
        <v>3.7037037037037028E-2</v>
      </c>
      <c r="I10" s="82">
        <f t="shared" si="1"/>
        <v>2.5875000000000004</v>
      </c>
      <c r="J10" s="82">
        <f t="shared" si="2"/>
        <v>0.86249999999999982</v>
      </c>
      <c r="K10" s="30"/>
    </row>
    <row r="11" spans="1:15" x14ac:dyDescent="0.25">
      <c r="A11" s="47" t="s">
        <v>153</v>
      </c>
      <c r="B11" s="47" t="s">
        <v>176</v>
      </c>
      <c r="C11" s="47">
        <v>45917</v>
      </c>
      <c r="D11" s="35" t="s">
        <v>148</v>
      </c>
      <c r="E11" s="38" t="s">
        <v>135</v>
      </c>
      <c r="F11" s="9" t="s">
        <v>117</v>
      </c>
      <c r="G11" s="75">
        <v>10.350000000000001</v>
      </c>
      <c r="H11" s="30">
        <f t="shared" si="0"/>
        <v>0.1111111111111111</v>
      </c>
      <c r="I11" s="82">
        <f t="shared" si="1"/>
        <v>7.7625000000000011</v>
      </c>
      <c r="J11" s="82">
        <f t="shared" si="2"/>
        <v>2.5875000000000004</v>
      </c>
      <c r="K11" s="30"/>
    </row>
    <row r="12" spans="1:15" x14ac:dyDescent="0.25">
      <c r="A12" s="47" t="s">
        <v>153</v>
      </c>
      <c r="B12" s="47" t="s">
        <v>176</v>
      </c>
      <c r="C12" s="47">
        <v>45917</v>
      </c>
      <c r="D12" s="36" t="s">
        <v>62</v>
      </c>
      <c r="E12" s="45" t="s">
        <v>135</v>
      </c>
      <c r="F12" s="5" t="s">
        <v>118</v>
      </c>
      <c r="G12" s="75">
        <v>3.45</v>
      </c>
      <c r="H12" s="30">
        <f t="shared" si="0"/>
        <v>3.7037037037037028E-2</v>
      </c>
      <c r="I12" s="82">
        <f t="shared" si="1"/>
        <v>2.5875000000000004</v>
      </c>
      <c r="J12" s="82">
        <f t="shared" si="2"/>
        <v>0.86249999999999982</v>
      </c>
      <c r="K12" s="30"/>
    </row>
    <row r="13" spans="1:15" x14ac:dyDescent="0.25">
      <c r="A13" s="47" t="s">
        <v>153</v>
      </c>
      <c r="B13" s="47" t="s">
        <v>176</v>
      </c>
      <c r="C13" s="47">
        <v>45917</v>
      </c>
      <c r="D13" s="36" t="s">
        <v>62</v>
      </c>
      <c r="E13" s="45" t="s">
        <v>135</v>
      </c>
      <c r="F13" s="5" t="s">
        <v>24</v>
      </c>
      <c r="G13" s="75">
        <v>0</v>
      </c>
      <c r="H13" s="30">
        <f t="shared" si="0"/>
        <v>0</v>
      </c>
      <c r="I13" s="82">
        <f t="shared" si="1"/>
        <v>0</v>
      </c>
      <c r="J13" s="82">
        <f t="shared" si="2"/>
        <v>0</v>
      </c>
      <c r="K13" s="30"/>
    </row>
    <row r="14" spans="1:15" x14ac:dyDescent="0.25">
      <c r="A14" s="47" t="s">
        <v>153</v>
      </c>
      <c r="B14" s="47" t="s">
        <v>176</v>
      </c>
      <c r="C14" s="47">
        <v>45917</v>
      </c>
      <c r="D14" s="36" t="s">
        <v>62</v>
      </c>
      <c r="E14" s="45" t="s">
        <v>135</v>
      </c>
      <c r="F14" s="5" t="s">
        <v>25</v>
      </c>
      <c r="G14" s="75">
        <v>0</v>
      </c>
      <c r="H14" s="30">
        <f t="shared" si="0"/>
        <v>0</v>
      </c>
      <c r="I14" s="82">
        <f t="shared" si="1"/>
        <v>0</v>
      </c>
      <c r="J14" s="82">
        <f t="shared" si="2"/>
        <v>0</v>
      </c>
      <c r="K14" s="30"/>
    </row>
    <row r="15" spans="1:15" x14ac:dyDescent="0.25">
      <c r="A15" s="47" t="s">
        <v>153</v>
      </c>
      <c r="B15" s="47" t="s">
        <v>176</v>
      </c>
      <c r="C15" s="47">
        <v>45917</v>
      </c>
      <c r="D15" s="36" t="s">
        <v>62</v>
      </c>
      <c r="E15" s="45" t="s">
        <v>135</v>
      </c>
      <c r="F15" s="5" t="s">
        <v>26</v>
      </c>
      <c r="G15" s="75">
        <v>0</v>
      </c>
      <c r="H15" s="30">
        <f t="shared" si="0"/>
        <v>0</v>
      </c>
      <c r="I15" s="82">
        <f t="shared" si="1"/>
        <v>0</v>
      </c>
      <c r="J15" s="82">
        <f t="shared" si="2"/>
        <v>0</v>
      </c>
      <c r="K15" s="30"/>
    </row>
    <row r="16" spans="1:15" x14ac:dyDescent="0.25">
      <c r="A16" s="47" t="s">
        <v>153</v>
      </c>
      <c r="B16" s="47" t="s">
        <v>176</v>
      </c>
      <c r="C16" s="47">
        <v>45917</v>
      </c>
      <c r="D16" s="36" t="s">
        <v>62</v>
      </c>
      <c r="E16" s="45" t="s">
        <v>135</v>
      </c>
      <c r="F16" s="5" t="s">
        <v>27</v>
      </c>
      <c r="G16" s="75">
        <v>0</v>
      </c>
      <c r="H16" s="30">
        <f t="shared" si="0"/>
        <v>0</v>
      </c>
      <c r="I16" s="82">
        <f t="shared" si="1"/>
        <v>0</v>
      </c>
      <c r="J16" s="82">
        <f t="shared" si="2"/>
        <v>0</v>
      </c>
      <c r="K16" s="30"/>
    </row>
    <row r="17" spans="1:11" x14ac:dyDescent="0.25">
      <c r="A17" s="47" t="s">
        <v>153</v>
      </c>
      <c r="B17" s="47" t="s">
        <v>176</v>
      </c>
      <c r="C17" s="47">
        <v>45917</v>
      </c>
      <c r="D17" s="36" t="s">
        <v>62</v>
      </c>
      <c r="E17" s="45" t="s">
        <v>135</v>
      </c>
      <c r="F17" s="5" t="s">
        <v>28</v>
      </c>
      <c r="G17" s="75">
        <v>0</v>
      </c>
      <c r="H17" s="30">
        <f t="shared" si="0"/>
        <v>0</v>
      </c>
      <c r="I17" s="82">
        <f t="shared" si="1"/>
        <v>0</v>
      </c>
      <c r="J17" s="82">
        <f t="shared" si="2"/>
        <v>0</v>
      </c>
      <c r="K17" s="30"/>
    </row>
    <row r="18" spans="1:11" x14ac:dyDescent="0.25">
      <c r="A18" s="47" t="s">
        <v>153</v>
      </c>
      <c r="B18" s="47" t="s">
        <v>176</v>
      </c>
      <c r="C18" s="47">
        <v>45917</v>
      </c>
      <c r="D18" s="36" t="s">
        <v>62</v>
      </c>
      <c r="E18" s="45" t="s">
        <v>135</v>
      </c>
      <c r="F18" s="5" t="s">
        <v>119</v>
      </c>
      <c r="G18" s="75">
        <v>0</v>
      </c>
      <c r="H18" s="30">
        <f t="shared" si="0"/>
        <v>0</v>
      </c>
      <c r="I18" s="82">
        <f t="shared" si="1"/>
        <v>0</v>
      </c>
      <c r="J18" s="82">
        <f t="shared" si="2"/>
        <v>0</v>
      </c>
      <c r="K18" s="30"/>
    </row>
    <row r="19" spans="1:11" x14ac:dyDescent="0.25">
      <c r="A19" s="47" t="s">
        <v>153</v>
      </c>
      <c r="B19" s="47" t="s">
        <v>176</v>
      </c>
      <c r="C19" s="47">
        <v>45917</v>
      </c>
      <c r="D19" s="36" t="s">
        <v>62</v>
      </c>
      <c r="E19" s="45" t="s">
        <v>135</v>
      </c>
      <c r="F19" s="5" t="s">
        <v>120</v>
      </c>
      <c r="G19" s="75">
        <v>0</v>
      </c>
      <c r="H19" s="30">
        <f t="shared" si="0"/>
        <v>0</v>
      </c>
      <c r="I19" s="82">
        <f t="shared" si="1"/>
        <v>0</v>
      </c>
      <c r="J19" s="82">
        <f t="shared" si="2"/>
        <v>0</v>
      </c>
      <c r="K19" s="30"/>
    </row>
    <row r="20" spans="1:11" x14ac:dyDescent="0.25">
      <c r="A20" s="47" t="s">
        <v>153</v>
      </c>
      <c r="B20" s="47" t="s">
        <v>176</v>
      </c>
      <c r="C20" s="47">
        <v>45917</v>
      </c>
      <c r="D20" s="36" t="s">
        <v>62</v>
      </c>
      <c r="E20" s="45" t="s">
        <v>135</v>
      </c>
      <c r="F20" s="5" t="s">
        <v>121</v>
      </c>
      <c r="G20" s="75">
        <v>0</v>
      </c>
      <c r="H20" s="30">
        <f t="shared" si="0"/>
        <v>0</v>
      </c>
      <c r="I20" s="82">
        <f t="shared" si="1"/>
        <v>0</v>
      </c>
      <c r="J20" s="82">
        <f t="shared" si="2"/>
        <v>0</v>
      </c>
      <c r="K20" s="30"/>
    </row>
    <row r="21" spans="1:11" x14ac:dyDescent="0.25">
      <c r="A21" s="47" t="s">
        <v>153</v>
      </c>
      <c r="B21" s="47" t="s">
        <v>176</v>
      </c>
      <c r="C21" s="47">
        <v>45917</v>
      </c>
      <c r="D21" s="36" t="s">
        <v>62</v>
      </c>
      <c r="E21" s="45" t="s">
        <v>135</v>
      </c>
      <c r="F21" s="5" t="s">
        <v>122</v>
      </c>
      <c r="G21" s="75">
        <v>0</v>
      </c>
      <c r="H21" s="30">
        <f t="shared" si="0"/>
        <v>0</v>
      </c>
      <c r="I21" s="82">
        <f t="shared" si="1"/>
        <v>0</v>
      </c>
      <c r="J21" s="82">
        <f t="shared" si="2"/>
        <v>0</v>
      </c>
      <c r="K21" s="30"/>
    </row>
    <row r="22" spans="1:11" x14ac:dyDescent="0.25">
      <c r="A22" s="47" t="s">
        <v>153</v>
      </c>
      <c r="B22" s="47" t="s">
        <v>176</v>
      </c>
      <c r="C22" s="47">
        <v>45917</v>
      </c>
      <c r="D22" s="48" t="s">
        <v>150</v>
      </c>
      <c r="E22" s="46" t="s">
        <v>135</v>
      </c>
      <c r="F22" s="10" t="s">
        <v>123</v>
      </c>
      <c r="G22" s="75">
        <v>0</v>
      </c>
      <c r="H22" s="30">
        <f t="shared" si="0"/>
        <v>0</v>
      </c>
      <c r="I22" s="82">
        <f t="shared" si="1"/>
        <v>0</v>
      </c>
      <c r="J22" s="82">
        <f t="shared" si="2"/>
        <v>0</v>
      </c>
      <c r="K22" s="30"/>
    </row>
    <row r="23" spans="1:11" x14ac:dyDescent="0.25">
      <c r="A23" s="47" t="s">
        <v>153</v>
      </c>
      <c r="B23" s="47" t="s">
        <v>176</v>
      </c>
      <c r="C23" s="47">
        <v>45917</v>
      </c>
      <c r="D23" s="48" t="s">
        <v>150</v>
      </c>
      <c r="E23" s="46" t="s">
        <v>135</v>
      </c>
      <c r="F23" s="10" t="s">
        <v>124</v>
      </c>
      <c r="G23" s="75">
        <v>3.45</v>
      </c>
      <c r="H23" s="30">
        <f t="shared" si="0"/>
        <v>3.7037037037037028E-2</v>
      </c>
      <c r="I23" s="82">
        <f t="shared" si="1"/>
        <v>2.5875000000000004</v>
      </c>
      <c r="J23" s="82">
        <f t="shared" si="2"/>
        <v>0.86249999999999982</v>
      </c>
      <c r="K23" s="30"/>
    </row>
    <row r="24" spans="1:11" x14ac:dyDescent="0.25">
      <c r="A24" s="47" t="s">
        <v>153</v>
      </c>
      <c r="B24" s="47" t="s">
        <v>176</v>
      </c>
      <c r="C24" s="47">
        <v>45917</v>
      </c>
      <c r="D24" s="48" t="s">
        <v>150</v>
      </c>
      <c r="E24" s="46" t="s">
        <v>135</v>
      </c>
      <c r="F24" s="10" t="s">
        <v>125</v>
      </c>
      <c r="G24" s="75">
        <v>0</v>
      </c>
      <c r="H24" s="30">
        <f t="shared" si="0"/>
        <v>0</v>
      </c>
      <c r="I24" s="82">
        <f t="shared" si="1"/>
        <v>0</v>
      </c>
      <c r="J24" s="82">
        <f t="shared" si="2"/>
        <v>0</v>
      </c>
      <c r="K24" s="30"/>
    </row>
    <row r="25" spans="1:11" x14ac:dyDescent="0.25">
      <c r="A25" s="47" t="s">
        <v>153</v>
      </c>
      <c r="B25" s="47" t="s">
        <v>176</v>
      </c>
      <c r="C25" s="47">
        <v>45917</v>
      </c>
      <c r="D25" s="48" t="s">
        <v>150</v>
      </c>
      <c r="E25" s="46" t="s">
        <v>135</v>
      </c>
      <c r="F25" s="10" t="s">
        <v>126</v>
      </c>
      <c r="G25" s="75">
        <v>0</v>
      </c>
      <c r="H25" s="30">
        <f t="shared" si="0"/>
        <v>0</v>
      </c>
      <c r="I25" s="82">
        <f t="shared" si="1"/>
        <v>0</v>
      </c>
      <c r="J25" s="82">
        <f t="shared" si="2"/>
        <v>0</v>
      </c>
      <c r="K25" s="30"/>
    </row>
    <row r="26" spans="1:11" x14ac:dyDescent="0.25">
      <c r="A26" s="47" t="s">
        <v>153</v>
      </c>
      <c r="B26" s="47" t="s">
        <v>176</v>
      </c>
      <c r="C26" s="47">
        <v>45917</v>
      </c>
      <c r="D26" s="48" t="s">
        <v>150</v>
      </c>
      <c r="E26" s="46" t="s">
        <v>135</v>
      </c>
      <c r="F26" s="10" t="s">
        <v>127</v>
      </c>
      <c r="G26" s="75">
        <v>0</v>
      </c>
      <c r="H26" s="30">
        <f t="shared" si="0"/>
        <v>0</v>
      </c>
      <c r="I26" s="82">
        <f t="shared" si="1"/>
        <v>0</v>
      </c>
      <c r="J26" s="82">
        <f t="shared" si="2"/>
        <v>0</v>
      </c>
      <c r="K26" s="30"/>
    </row>
    <row r="27" spans="1:11" x14ac:dyDescent="0.25">
      <c r="A27" s="47" t="s">
        <v>153</v>
      </c>
      <c r="B27" s="47" t="s">
        <v>176</v>
      </c>
      <c r="C27" s="47">
        <v>45917</v>
      </c>
      <c r="D27" s="48" t="s">
        <v>150</v>
      </c>
      <c r="E27" s="46" t="s">
        <v>135</v>
      </c>
      <c r="F27" s="10" t="s">
        <v>30</v>
      </c>
      <c r="G27" s="75">
        <v>0</v>
      </c>
      <c r="H27" s="30">
        <f t="shared" si="0"/>
        <v>0</v>
      </c>
      <c r="I27" s="82">
        <f t="shared" si="1"/>
        <v>0</v>
      </c>
      <c r="J27" s="82">
        <f t="shared" si="2"/>
        <v>0</v>
      </c>
      <c r="K27" s="30"/>
    </row>
    <row r="28" spans="1:11" x14ac:dyDescent="0.25">
      <c r="A28" s="47" t="s">
        <v>153</v>
      </c>
      <c r="B28" s="47" t="s">
        <v>176</v>
      </c>
      <c r="C28" s="47">
        <v>45917</v>
      </c>
      <c r="D28" s="36" t="s">
        <v>149</v>
      </c>
      <c r="E28" s="45" t="s">
        <v>135</v>
      </c>
      <c r="F28" s="5" t="s">
        <v>128</v>
      </c>
      <c r="G28" s="75">
        <v>0</v>
      </c>
      <c r="H28" s="30">
        <f t="shared" si="0"/>
        <v>0</v>
      </c>
      <c r="I28" s="82">
        <f t="shared" si="1"/>
        <v>0</v>
      </c>
      <c r="J28" s="82">
        <f t="shared" si="2"/>
        <v>0</v>
      </c>
      <c r="K28" s="30"/>
    </row>
    <row r="29" spans="1:11" x14ac:dyDescent="0.25">
      <c r="A29" s="47" t="s">
        <v>153</v>
      </c>
      <c r="B29" s="47" t="s">
        <v>176</v>
      </c>
      <c r="C29" s="47">
        <v>45917</v>
      </c>
      <c r="D29" s="36" t="s">
        <v>149</v>
      </c>
      <c r="E29" s="45" t="s">
        <v>135</v>
      </c>
      <c r="F29" s="5" t="s">
        <v>129</v>
      </c>
      <c r="G29" s="75">
        <v>0</v>
      </c>
      <c r="H29" s="30">
        <f t="shared" si="0"/>
        <v>0</v>
      </c>
      <c r="I29" s="82">
        <f t="shared" si="1"/>
        <v>0</v>
      </c>
      <c r="J29" s="82">
        <f t="shared" si="2"/>
        <v>0</v>
      </c>
      <c r="K29" s="30"/>
    </row>
    <row r="30" spans="1:11" x14ac:dyDescent="0.25">
      <c r="A30" s="47" t="s">
        <v>153</v>
      </c>
      <c r="B30" s="47" t="s">
        <v>176</v>
      </c>
      <c r="C30" s="47">
        <v>45917</v>
      </c>
      <c r="D30" s="36" t="s">
        <v>149</v>
      </c>
      <c r="E30" s="45" t="s">
        <v>135</v>
      </c>
      <c r="F30" s="5" t="s">
        <v>31</v>
      </c>
      <c r="G30" s="75">
        <v>3.45</v>
      </c>
      <c r="H30" s="30">
        <f t="shared" si="0"/>
        <v>3.7037037037037028E-2</v>
      </c>
      <c r="I30" s="82">
        <f t="shared" si="1"/>
        <v>2.5875000000000004</v>
      </c>
      <c r="J30" s="82">
        <f t="shared" si="2"/>
        <v>0.86249999999999982</v>
      </c>
      <c r="K30" s="30"/>
    </row>
    <row r="31" spans="1:11" x14ac:dyDescent="0.25">
      <c r="A31" s="39" t="s">
        <v>153</v>
      </c>
      <c r="B31" s="39" t="s">
        <v>176</v>
      </c>
      <c r="C31" s="41">
        <v>45917</v>
      </c>
      <c r="D31" s="42"/>
      <c r="E31" s="39" t="s">
        <v>135</v>
      </c>
      <c r="F31" s="42"/>
      <c r="G31" s="79">
        <f>SUM(G2:G30)</f>
        <v>93.15000000000002</v>
      </c>
      <c r="H31" s="44">
        <f>SUM(H2:H30)</f>
        <v>0.99999999999999956</v>
      </c>
      <c r="I31" s="79">
        <f t="shared" ref="I31:J31" si="3">SUM(I2:I30)</f>
        <v>69.862500000000026</v>
      </c>
      <c r="J31" s="79">
        <f t="shared" si="3"/>
        <v>23.287500000000005</v>
      </c>
      <c r="K31" s="43"/>
    </row>
    <row r="32" spans="1:11" x14ac:dyDescent="0.25">
      <c r="A32" s="47" t="s">
        <v>153</v>
      </c>
      <c r="B32" s="47" t="s">
        <v>177</v>
      </c>
      <c r="C32" s="47">
        <v>45917</v>
      </c>
      <c r="D32" s="35" t="s">
        <v>148</v>
      </c>
      <c r="E32" s="38" t="s">
        <v>135</v>
      </c>
      <c r="F32" s="9" t="s">
        <v>108</v>
      </c>
      <c r="G32" s="75" cm="1">
        <f t="array" ref="G32:G60">TRANSPOSE(DIAGNÓSTICO!P13:AR13)</f>
        <v>6.9</v>
      </c>
      <c r="H32" s="30">
        <f>IFERROR((G32/$G$61),0)</f>
        <v>0.10526315789473682</v>
      </c>
      <c r="I32" s="82">
        <f>((G32)-(G32/4))</f>
        <v>5.1750000000000007</v>
      </c>
      <c r="J32" s="82">
        <f>G32-I32</f>
        <v>1.7249999999999996</v>
      </c>
      <c r="K32" s="30"/>
    </row>
    <row r="33" spans="1:13" x14ac:dyDescent="0.25">
      <c r="A33" s="47" t="s">
        <v>153</v>
      </c>
      <c r="B33" s="47" t="s">
        <v>177</v>
      </c>
      <c r="C33" s="47">
        <v>45917</v>
      </c>
      <c r="D33" s="35" t="s">
        <v>148</v>
      </c>
      <c r="E33" s="38" t="s">
        <v>135</v>
      </c>
      <c r="F33" s="9" t="s">
        <v>109</v>
      </c>
      <c r="G33" s="75">
        <v>10.350000000000001</v>
      </c>
      <c r="H33" s="30">
        <f t="shared" ref="H33:H60" si="4">IFERROR((G33/$G$61),0)</f>
        <v>0.15789473684210525</v>
      </c>
      <c r="I33" s="82">
        <f t="shared" ref="I33:I60" si="5">((G33)-(G33/4))</f>
        <v>7.7625000000000011</v>
      </c>
      <c r="J33" s="82">
        <f t="shared" ref="J33" si="6">G33-I33</f>
        <v>2.5875000000000004</v>
      </c>
      <c r="K33" s="30"/>
    </row>
    <row r="34" spans="1:13" x14ac:dyDescent="0.25">
      <c r="A34" s="47" t="s">
        <v>153</v>
      </c>
      <c r="B34" s="47" t="s">
        <v>177</v>
      </c>
      <c r="C34" s="47">
        <v>45917</v>
      </c>
      <c r="D34" s="35" t="s">
        <v>148</v>
      </c>
      <c r="E34" s="38" t="s">
        <v>135</v>
      </c>
      <c r="F34" s="9" t="s">
        <v>110</v>
      </c>
      <c r="G34" s="75">
        <v>3.45</v>
      </c>
      <c r="H34" s="30">
        <f t="shared" si="4"/>
        <v>5.2631578947368411E-2</v>
      </c>
      <c r="I34" s="82">
        <f t="shared" si="5"/>
        <v>2.5875000000000004</v>
      </c>
      <c r="J34" s="82">
        <f>G34-I34</f>
        <v>0.86249999999999982</v>
      </c>
      <c r="K34" s="30"/>
    </row>
    <row r="35" spans="1:13" x14ac:dyDescent="0.25">
      <c r="A35" s="47" t="s">
        <v>153</v>
      </c>
      <c r="B35" s="47" t="s">
        <v>177</v>
      </c>
      <c r="C35" s="47">
        <v>45917</v>
      </c>
      <c r="D35" s="35" t="s">
        <v>148</v>
      </c>
      <c r="E35" s="38" t="s">
        <v>135</v>
      </c>
      <c r="F35" s="9" t="s">
        <v>111</v>
      </c>
      <c r="G35" s="75">
        <v>6.9</v>
      </c>
      <c r="H35" s="30">
        <f t="shared" si="4"/>
        <v>0.10526315789473682</v>
      </c>
      <c r="I35" s="82">
        <f>((G35)-(G35/4))</f>
        <v>5.1750000000000007</v>
      </c>
      <c r="J35" s="82">
        <f>G35-I35</f>
        <v>1.7249999999999996</v>
      </c>
      <c r="K35" s="30"/>
    </row>
    <row r="36" spans="1:13" x14ac:dyDescent="0.25">
      <c r="A36" s="47" t="s">
        <v>153</v>
      </c>
      <c r="B36" s="47" t="s">
        <v>177</v>
      </c>
      <c r="C36" s="47">
        <v>45917</v>
      </c>
      <c r="D36" s="35" t="s">
        <v>148</v>
      </c>
      <c r="E36" s="38" t="s">
        <v>135</v>
      </c>
      <c r="F36" s="9" t="s">
        <v>112</v>
      </c>
      <c r="G36" s="75">
        <v>3.45</v>
      </c>
      <c r="H36" s="30">
        <f t="shared" si="4"/>
        <v>5.2631578947368411E-2</v>
      </c>
      <c r="I36" s="82">
        <f t="shared" si="5"/>
        <v>2.5875000000000004</v>
      </c>
      <c r="J36" s="82">
        <f>G36-I36</f>
        <v>0.86249999999999982</v>
      </c>
      <c r="K36" s="30"/>
      <c r="M36" s="62"/>
    </row>
    <row r="37" spans="1:13" x14ac:dyDescent="0.25">
      <c r="A37" s="47" t="s">
        <v>153</v>
      </c>
      <c r="B37" s="47" t="s">
        <v>177</v>
      </c>
      <c r="C37" s="47">
        <v>45917</v>
      </c>
      <c r="D37" s="35" t="s">
        <v>148</v>
      </c>
      <c r="E37" s="38" t="s">
        <v>135</v>
      </c>
      <c r="F37" s="9" t="s">
        <v>113</v>
      </c>
      <c r="G37" s="75">
        <v>6.9</v>
      </c>
      <c r="H37" s="30">
        <f t="shared" si="4"/>
        <v>0.10526315789473682</v>
      </c>
      <c r="I37" s="82">
        <f t="shared" si="5"/>
        <v>5.1750000000000007</v>
      </c>
      <c r="J37" s="82">
        <f>G37-I37</f>
        <v>1.7249999999999996</v>
      </c>
      <c r="K37" s="30"/>
    </row>
    <row r="38" spans="1:13" x14ac:dyDescent="0.25">
      <c r="A38" s="47" t="s">
        <v>153</v>
      </c>
      <c r="B38" s="47" t="s">
        <v>177</v>
      </c>
      <c r="C38" s="47">
        <v>45917</v>
      </c>
      <c r="D38" s="35" t="s">
        <v>148</v>
      </c>
      <c r="E38" s="38" t="s">
        <v>135</v>
      </c>
      <c r="F38" s="9" t="s">
        <v>114</v>
      </c>
      <c r="G38" s="75">
        <v>6.9</v>
      </c>
      <c r="H38" s="30">
        <f t="shared" si="4"/>
        <v>0.10526315789473682</v>
      </c>
      <c r="I38" s="82">
        <f t="shared" si="5"/>
        <v>5.1750000000000007</v>
      </c>
      <c r="J38" s="82">
        <f t="shared" ref="J38:J59" si="7">G38-I38</f>
        <v>1.7249999999999996</v>
      </c>
      <c r="K38" s="30"/>
    </row>
    <row r="39" spans="1:13" x14ac:dyDescent="0.25">
      <c r="A39" s="47" t="s">
        <v>153</v>
      </c>
      <c r="B39" s="47" t="s">
        <v>177</v>
      </c>
      <c r="C39" s="47">
        <v>45917</v>
      </c>
      <c r="D39" s="35" t="s">
        <v>148</v>
      </c>
      <c r="E39" s="38" t="s">
        <v>135</v>
      </c>
      <c r="F39" s="9" t="s">
        <v>115</v>
      </c>
      <c r="G39" s="75">
        <v>3.45</v>
      </c>
      <c r="H39" s="30">
        <f t="shared" si="4"/>
        <v>5.2631578947368411E-2</v>
      </c>
      <c r="I39" s="82">
        <f t="shared" si="5"/>
        <v>2.5875000000000004</v>
      </c>
      <c r="J39" s="82">
        <f t="shared" si="7"/>
        <v>0.86249999999999982</v>
      </c>
      <c r="K39" s="30"/>
    </row>
    <row r="40" spans="1:13" x14ac:dyDescent="0.25">
      <c r="A40" s="47" t="s">
        <v>153</v>
      </c>
      <c r="B40" s="47" t="s">
        <v>177</v>
      </c>
      <c r="C40" s="47">
        <v>45917</v>
      </c>
      <c r="D40" s="35" t="s">
        <v>148</v>
      </c>
      <c r="E40" s="38" t="s">
        <v>135</v>
      </c>
      <c r="F40" s="9" t="s">
        <v>116</v>
      </c>
      <c r="G40" s="75">
        <v>3.45</v>
      </c>
      <c r="H40" s="30">
        <f t="shared" si="4"/>
        <v>5.2631578947368411E-2</v>
      </c>
      <c r="I40" s="82">
        <f t="shared" si="5"/>
        <v>2.5875000000000004</v>
      </c>
      <c r="J40" s="82">
        <f t="shared" si="7"/>
        <v>0.86249999999999982</v>
      </c>
      <c r="K40" s="30"/>
    </row>
    <row r="41" spans="1:13" x14ac:dyDescent="0.25">
      <c r="A41" s="47" t="s">
        <v>153</v>
      </c>
      <c r="B41" s="47" t="s">
        <v>177</v>
      </c>
      <c r="C41" s="47">
        <v>45917</v>
      </c>
      <c r="D41" s="35" t="s">
        <v>148</v>
      </c>
      <c r="E41" s="38" t="s">
        <v>135</v>
      </c>
      <c r="F41" s="9" t="s">
        <v>117</v>
      </c>
      <c r="G41" s="75">
        <v>3.45</v>
      </c>
      <c r="H41" s="30">
        <f t="shared" si="4"/>
        <v>5.2631578947368411E-2</v>
      </c>
      <c r="I41" s="82">
        <f t="shared" si="5"/>
        <v>2.5875000000000004</v>
      </c>
      <c r="J41" s="82">
        <f t="shared" si="7"/>
        <v>0.86249999999999982</v>
      </c>
      <c r="K41" s="30"/>
    </row>
    <row r="42" spans="1:13" x14ac:dyDescent="0.25">
      <c r="A42" s="47" t="s">
        <v>153</v>
      </c>
      <c r="B42" s="47" t="s">
        <v>177</v>
      </c>
      <c r="C42" s="47">
        <v>45917</v>
      </c>
      <c r="D42" s="36" t="s">
        <v>62</v>
      </c>
      <c r="E42" s="45" t="s">
        <v>135</v>
      </c>
      <c r="F42" s="5" t="s">
        <v>118</v>
      </c>
      <c r="G42" s="75">
        <v>0</v>
      </c>
      <c r="H42" s="30">
        <f t="shared" si="4"/>
        <v>0</v>
      </c>
      <c r="I42" s="82">
        <f t="shared" si="5"/>
        <v>0</v>
      </c>
      <c r="J42" s="82">
        <f t="shared" si="7"/>
        <v>0</v>
      </c>
      <c r="K42" s="30"/>
    </row>
    <row r="43" spans="1:13" x14ac:dyDescent="0.25">
      <c r="A43" s="47" t="s">
        <v>153</v>
      </c>
      <c r="B43" s="47" t="s">
        <v>177</v>
      </c>
      <c r="C43" s="47">
        <v>45917</v>
      </c>
      <c r="D43" s="36" t="s">
        <v>62</v>
      </c>
      <c r="E43" s="45" t="s">
        <v>135</v>
      </c>
      <c r="F43" s="5" t="s">
        <v>24</v>
      </c>
      <c r="G43" s="75">
        <v>0</v>
      </c>
      <c r="H43" s="30">
        <f t="shared" si="4"/>
        <v>0</v>
      </c>
      <c r="I43" s="82">
        <f t="shared" si="5"/>
        <v>0</v>
      </c>
      <c r="J43" s="82">
        <f t="shared" si="7"/>
        <v>0</v>
      </c>
      <c r="K43" s="30"/>
    </row>
    <row r="44" spans="1:13" x14ac:dyDescent="0.25">
      <c r="A44" s="47" t="s">
        <v>153</v>
      </c>
      <c r="B44" s="47" t="s">
        <v>177</v>
      </c>
      <c r="C44" s="47">
        <v>45917</v>
      </c>
      <c r="D44" s="36" t="s">
        <v>62</v>
      </c>
      <c r="E44" s="45" t="s">
        <v>135</v>
      </c>
      <c r="F44" s="5" t="s">
        <v>25</v>
      </c>
      <c r="G44" s="75">
        <v>0</v>
      </c>
      <c r="H44" s="30">
        <f t="shared" si="4"/>
        <v>0</v>
      </c>
      <c r="I44" s="82">
        <f t="shared" si="5"/>
        <v>0</v>
      </c>
      <c r="J44" s="82">
        <f t="shared" si="7"/>
        <v>0</v>
      </c>
      <c r="K44" s="30"/>
    </row>
    <row r="45" spans="1:13" x14ac:dyDescent="0.25">
      <c r="A45" s="47" t="s">
        <v>153</v>
      </c>
      <c r="B45" s="47" t="s">
        <v>177</v>
      </c>
      <c r="C45" s="47">
        <v>45917</v>
      </c>
      <c r="D45" s="36" t="s">
        <v>62</v>
      </c>
      <c r="E45" s="45" t="s">
        <v>135</v>
      </c>
      <c r="F45" s="5" t="s">
        <v>26</v>
      </c>
      <c r="G45" s="75">
        <v>0</v>
      </c>
      <c r="H45" s="30">
        <f t="shared" si="4"/>
        <v>0</v>
      </c>
      <c r="I45" s="82">
        <f t="shared" si="5"/>
        <v>0</v>
      </c>
      <c r="J45" s="82">
        <f t="shared" si="7"/>
        <v>0</v>
      </c>
      <c r="K45" s="30"/>
    </row>
    <row r="46" spans="1:13" x14ac:dyDescent="0.25">
      <c r="A46" s="47" t="s">
        <v>153</v>
      </c>
      <c r="B46" s="47" t="s">
        <v>177</v>
      </c>
      <c r="C46" s="47">
        <v>45917</v>
      </c>
      <c r="D46" s="36" t="s">
        <v>62</v>
      </c>
      <c r="E46" s="45" t="s">
        <v>135</v>
      </c>
      <c r="F46" s="5" t="s">
        <v>27</v>
      </c>
      <c r="G46" s="75">
        <v>0</v>
      </c>
      <c r="H46" s="30">
        <f t="shared" si="4"/>
        <v>0</v>
      </c>
      <c r="I46" s="82">
        <f t="shared" si="5"/>
        <v>0</v>
      </c>
      <c r="J46" s="82">
        <f t="shared" si="7"/>
        <v>0</v>
      </c>
      <c r="K46" s="30"/>
    </row>
    <row r="47" spans="1:13" x14ac:dyDescent="0.25">
      <c r="A47" s="47" t="s">
        <v>153</v>
      </c>
      <c r="B47" s="47" t="s">
        <v>177</v>
      </c>
      <c r="C47" s="47">
        <v>45917</v>
      </c>
      <c r="D47" s="36" t="s">
        <v>62</v>
      </c>
      <c r="E47" s="45" t="s">
        <v>135</v>
      </c>
      <c r="F47" s="5" t="s">
        <v>28</v>
      </c>
      <c r="G47" s="75">
        <v>3.45</v>
      </c>
      <c r="H47" s="30">
        <f t="shared" si="4"/>
        <v>5.2631578947368411E-2</v>
      </c>
      <c r="I47" s="82">
        <f t="shared" si="5"/>
        <v>2.5875000000000004</v>
      </c>
      <c r="J47" s="82">
        <f t="shared" si="7"/>
        <v>0.86249999999999982</v>
      </c>
      <c r="K47" s="30"/>
    </row>
    <row r="48" spans="1:13" x14ac:dyDescent="0.25">
      <c r="A48" s="47" t="s">
        <v>153</v>
      </c>
      <c r="B48" s="47" t="s">
        <v>177</v>
      </c>
      <c r="C48" s="47">
        <v>45917</v>
      </c>
      <c r="D48" s="36" t="s">
        <v>62</v>
      </c>
      <c r="E48" s="45" t="s">
        <v>135</v>
      </c>
      <c r="F48" s="5" t="s">
        <v>119</v>
      </c>
      <c r="G48" s="75">
        <v>0</v>
      </c>
      <c r="H48" s="30">
        <f t="shared" si="4"/>
        <v>0</v>
      </c>
      <c r="I48" s="82">
        <f t="shared" si="5"/>
        <v>0</v>
      </c>
      <c r="J48" s="82">
        <f t="shared" si="7"/>
        <v>0</v>
      </c>
      <c r="K48" s="30"/>
    </row>
    <row r="49" spans="1:12" x14ac:dyDescent="0.25">
      <c r="A49" s="47" t="s">
        <v>153</v>
      </c>
      <c r="B49" s="47" t="s">
        <v>177</v>
      </c>
      <c r="C49" s="47">
        <v>45917</v>
      </c>
      <c r="D49" s="36" t="s">
        <v>62</v>
      </c>
      <c r="E49" s="45" t="s">
        <v>135</v>
      </c>
      <c r="F49" s="5" t="s">
        <v>120</v>
      </c>
      <c r="G49" s="75">
        <v>0</v>
      </c>
      <c r="H49" s="30">
        <f t="shared" si="4"/>
        <v>0</v>
      </c>
      <c r="I49" s="82">
        <f t="shared" si="5"/>
        <v>0</v>
      </c>
      <c r="J49" s="82">
        <f t="shared" si="7"/>
        <v>0</v>
      </c>
      <c r="K49" s="30"/>
    </row>
    <row r="50" spans="1:12" x14ac:dyDescent="0.25">
      <c r="A50" s="47" t="s">
        <v>153</v>
      </c>
      <c r="B50" s="47" t="s">
        <v>177</v>
      </c>
      <c r="C50" s="47">
        <v>45917</v>
      </c>
      <c r="D50" s="36" t="s">
        <v>62</v>
      </c>
      <c r="E50" s="45" t="s">
        <v>135</v>
      </c>
      <c r="F50" s="5" t="s">
        <v>121</v>
      </c>
      <c r="G50" s="75">
        <v>0</v>
      </c>
      <c r="H50" s="30">
        <f t="shared" si="4"/>
        <v>0</v>
      </c>
      <c r="I50" s="82">
        <f t="shared" si="5"/>
        <v>0</v>
      </c>
      <c r="J50" s="82">
        <f t="shared" si="7"/>
        <v>0</v>
      </c>
      <c r="K50" s="30"/>
    </row>
    <row r="51" spans="1:12" x14ac:dyDescent="0.25">
      <c r="A51" s="47" t="s">
        <v>153</v>
      </c>
      <c r="B51" s="47" t="s">
        <v>177</v>
      </c>
      <c r="C51" s="47">
        <v>45917</v>
      </c>
      <c r="D51" s="36" t="s">
        <v>62</v>
      </c>
      <c r="E51" s="45" t="s">
        <v>135</v>
      </c>
      <c r="F51" s="5" t="s">
        <v>122</v>
      </c>
      <c r="G51" s="75">
        <v>0</v>
      </c>
      <c r="H51" s="30">
        <f t="shared" si="4"/>
        <v>0</v>
      </c>
      <c r="I51" s="82">
        <f t="shared" si="5"/>
        <v>0</v>
      </c>
      <c r="J51" s="82">
        <f t="shared" si="7"/>
        <v>0</v>
      </c>
      <c r="K51" s="30"/>
    </row>
    <row r="52" spans="1:12" x14ac:dyDescent="0.25">
      <c r="A52" s="47" t="s">
        <v>153</v>
      </c>
      <c r="B52" s="47" t="s">
        <v>177</v>
      </c>
      <c r="C52" s="47">
        <v>45917</v>
      </c>
      <c r="D52" s="48" t="s">
        <v>150</v>
      </c>
      <c r="E52" s="46" t="s">
        <v>135</v>
      </c>
      <c r="F52" s="10" t="s">
        <v>123</v>
      </c>
      <c r="G52" s="75">
        <v>6.9</v>
      </c>
      <c r="H52" s="30">
        <f t="shared" si="4"/>
        <v>0.10526315789473682</v>
      </c>
      <c r="I52" s="82">
        <f t="shared" si="5"/>
        <v>5.1750000000000007</v>
      </c>
      <c r="J52" s="82">
        <f t="shared" si="7"/>
        <v>1.7249999999999996</v>
      </c>
      <c r="K52" s="30"/>
    </row>
    <row r="53" spans="1:12" x14ac:dyDescent="0.25">
      <c r="A53" s="47" t="s">
        <v>153</v>
      </c>
      <c r="B53" s="47" t="s">
        <v>177</v>
      </c>
      <c r="C53" s="47">
        <v>45917</v>
      </c>
      <c r="D53" s="48" t="s">
        <v>150</v>
      </c>
      <c r="E53" s="46" t="s">
        <v>135</v>
      </c>
      <c r="F53" s="10" t="s">
        <v>124</v>
      </c>
      <c r="G53" s="75">
        <v>0</v>
      </c>
      <c r="H53" s="30">
        <f t="shared" si="4"/>
        <v>0</v>
      </c>
      <c r="I53" s="82">
        <f t="shared" si="5"/>
        <v>0</v>
      </c>
      <c r="J53" s="82">
        <f t="shared" si="7"/>
        <v>0</v>
      </c>
      <c r="K53" s="30"/>
    </row>
    <row r="54" spans="1:12" x14ac:dyDescent="0.25">
      <c r="A54" s="47" t="s">
        <v>153</v>
      </c>
      <c r="B54" s="47" t="s">
        <v>177</v>
      </c>
      <c r="C54" s="47">
        <v>45917</v>
      </c>
      <c r="D54" s="48" t="s">
        <v>150</v>
      </c>
      <c r="E54" s="46" t="s">
        <v>135</v>
      </c>
      <c r="F54" s="10" t="s">
        <v>125</v>
      </c>
      <c r="G54" s="75">
        <v>0</v>
      </c>
      <c r="H54" s="30">
        <f t="shared" si="4"/>
        <v>0</v>
      </c>
      <c r="I54" s="82">
        <f t="shared" si="5"/>
        <v>0</v>
      </c>
      <c r="J54" s="82">
        <f t="shared" si="7"/>
        <v>0</v>
      </c>
      <c r="K54" s="30"/>
    </row>
    <row r="55" spans="1:12" x14ac:dyDescent="0.25">
      <c r="A55" s="47" t="s">
        <v>153</v>
      </c>
      <c r="B55" s="47" t="s">
        <v>177</v>
      </c>
      <c r="C55" s="47">
        <v>45917</v>
      </c>
      <c r="D55" s="48" t="s">
        <v>150</v>
      </c>
      <c r="E55" s="46" t="s">
        <v>135</v>
      </c>
      <c r="F55" s="10" t="s">
        <v>126</v>
      </c>
      <c r="G55" s="75">
        <v>0</v>
      </c>
      <c r="H55" s="30">
        <f t="shared" si="4"/>
        <v>0</v>
      </c>
      <c r="I55" s="82">
        <f t="shared" si="5"/>
        <v>0</v>
      </c>
      <c r="J55" s="82">
        <f t="shared" si="7"/>
        <v>0</v>
      </c>
      <c r="K55" s="30"/>
    </row>
    <row r="56" spans="1:12" x14ac:dyDescent="0.25">
      <c r="A56" s="47" t="s">
        <v>153</v>
      </c>
      <c r="B56" s="47" t="s">
        <v>177</v>
      </c>
      <c r="C56" s="47">
        <v>45917</v>
      </c>
      <c r="D56" s="48" t="s">
        <v>150</v>
      </c>
      <c r="E56" s="46" t="s">
        <v>135</v>
      </c>
      <c r="F56" s="10" t="s">
        <v>127</v>
      </c>
      <c r="G56" s="75">
        <v>0</v>
      </c>
      <c r="H56" s="30">
        <f t="shared" si="4"/>
        <v>0</v>
      </c>
      <c r="I56" s="82">
        <f t="shared" si="5"/>
        <v>0</v>
      </c>
      <c r="J56" s="82">
        <f t="shared" si="7"/>
        <v>0</v>
      </c>
      <c r="K56" s="30"/>
    </row>
    <row r="57" spans="1:12" x14ac:dyDescent="0.25">
      <c r="A57" s="47" t="s">
        <v>153</v>
      </c>
      <c r="B57" s="47" t="s">
        <v>177</v>
      </c>
      <c r="C57" s="47">
        <v>45917</v>
      </c>
      <c r="D57" s="48" t="s">
        <v>150</v>
      </c>
      <c r="E57" s="46" t="s">
        <v>135</v>
      </c>
      <c r="F57" s="10" t="s">
        <v>30</v>
      </c>
      <c r="G57" s="75">
        <v>0</v>
      </c>
      <c r="H57" s="30">
        <f t="shared" si="4"/>
        <v>0</v>
      </c>
      <c r="I57" s="82">
        <f t="shared" si="5"/>
        <v>0</v>
      </c>
      <c r="J57" s="82">
        <f t="shared" si="7"/>
        <v>0</v>
      </c>
      <c r="K57" s="30"/>
    </row>
    <row r="58" spans="1:12" x14ac:dyDescent="0.25">
      <c r="A58" s="47" t="s">
        <v>153</v>
      </c>
      <c r="B58" s="47" t="s">
        <v>177</v>
      </c>
      <c r="C58" s="47">
        <v>45917</v>
      </c>
      <c r="D58" s="36" t="s">
        <v>149</v>
      </c>
      <c r="E58" s="45" t="s">
        <v>135</v>
      </c>
      <c r="F58" s="5" t="s">
        <v>128</v>
      </c>
      <c r="G58" s="75">
        <v>0</v>
      </c>
      <c r="H58" s="30">
        <f t="shared" si="4"/>
        <v>0</v>
      </c>
      <c r="I58" s="82">
        <f t="shared" si="5"/>
        <v>0</v>
      </c>
      <c r="J58" s="82">
        <f>G58-I58</f>
        <v>0</v>
      </c>
      <c r="K58" s="30"/>
    </row>
    <row r="59" spans="1:12" x14ac:dyDescent="0.25">
      <c r="A59" s="47" t="s">
        <v>153</v>
      </c>
      <c r="B59" s="47" t="s">
        <v>177</v>
      </c>
      <c r="C59" s="47">
        <v>45917</v>
      </c>
      <c r="D59" s="36" t="s">
        <v>149</v>
      </c>
      <c r="E59" s="45" t="s">
        <v>135</v>
      </c>
      <c r="F59" s="5" t="s">
        <v>129</v>
      </c>
      <c r="G59" s="75">
        <v>0</v>
      </c>
      <c r="H59" s="30">
        <f t="shared" si="4"/>
        <v>0</v>
      </c>
      <c r="I59" s="82">
        <f t="shared" si="5"/>
        <v>0</v>
      </c>
      <c r="J59" s="82">
        <f t="shared" si="7"/>
        <v>0</v>
      </c>
      <c r="K59" s="30"/>
    </row>
    <row r="60" spans="1:12" x14ac:dyDescent="0.25">
      <c r="A60" s="47" t="s">
        <v>153</v>
      </c>
      <c r="B60" s="47" t="s">
        <v>177</v>
      </c>
      <c r="C60" s="47">
        <v>45917</v>
      </c>
      <c r="D60" s="36" t="s">
        <v>149</v>
      </c>
      <c r="E60" s="45" t="s">
        <v>135</v>
      </c>
      <c r="F60" s="5" t="s">
        <v>31</v>
      </c>
      <c r="G60" s="75">
        <v>0</v>
      </c>
      <c r="H60" s="30">
        <f t="shared" si="4"/>
        <v>0</v>
      </c>
      <c r="I60" s="82">
        <f t="shared" si="5"/>
        <v>0</v>
      </c>
      <c r="J60" s="82">
        <f>G60-I60</f>
        <v>0</v>
      </c>
      <c r="K60" s="30"/>
    </row>
    <row r="61" spans="1:12" x14ac:dyDescent="0.25">
      <c r="A61" s="39" t="s">
        <v>153</v>
      </c>
      <c r="B61" s="39" t="s">
        <v>177</v>
      </c>
      <c r="C61" s="41">
        <v>45917</v>
      </c>
      <c r="D61" s="42"/>
      <c r="E61" s="39" t="s">
        <v>135</v>
      </c>
      <c r="F61" s="42"/>
      <c r="G61" s="79">
        <f>SUM(G32:G60)</f>
        <v>65.550000000000011</v>
      </c>
      <c r="H61" s="44">
        <f>SUM(H32:H60)</f>
        <v>0.99999999999999967</v>
      </c>
      <c r="I61" s="83">
        <f>SUM(I32:I60)</f>
        <v>49.162499999999994</v>
      </c>
      <c r="J61" s="83">
        <f>SUM(J32:J60)</f>
        <v>16.387500000000003</v>
      </c>
      <c r="K61" s="43"/>
      <c r="L61" s="65"/>
    </row>
    <row r="62" spans="1:12" x14ac:dyDescent="0.25">
      <c r="A62" s="47" t="s">
        <v>153</v>
      </c>
      <c r="B62" s="47" t="s">
        <v>178</v>
      </c>
      <c r="C62" s="47">
        <v>45917</v>
      </c>
      <c r="D62" s="35" t="s">
        <v>148</v>
      </c>
      <c r="E62" s="38" t="s">
        <v>135</v>
      </c>
      <c r="F62" s="9" t="s">
        <v>108</v>
      </c>
      <c r="G62" s="75" cm="1">
        <f t="array" ref="G62:G90">TRANSPOSE(DIAGNÓSTICO!P19:AR19)</f>
        <v>3.45</v>
      </c>
      <c r="H62" s="30">
        <f>IFERROR((G62/$G$91),0)</f>
        <v>3.8461538461538457E-2</v>
      </c>
      <c r="I62" s="82">
        <f>((G62)-(G62/4))</f>
        <v>2.5875000000000004</v>
      </c>
      <c r="J62" s="82">
        <f>G62-I62</f>
        <v>0.86249999999999982</v>
      </c>
      <c r="K62" s="30"/>
    </row>
    <row r="63" spans="1:12" x14ac:dyDescent="0.25">
      <c r="A63" s="47" t="s">
        <v>153</v>
      </c>
      <c r="B63" s="47" t="s">
        <v>178</v>
      </c>
      <c r="C63" s="47">
        <v>45917</v>
      </c>
      <c r="D63" s="35" t="s">
        <v>148</v>
      </c>
      <c r="E63" s="38" t="s">
        <v>135</v>
      </c>
      <c r="F63" s="9" t="s">
        <v>109</v>
      </c>
      <c r="G63" s="75">
        <v>3.45</v>
      </c>
      <c r="H63" s="30">
        <f t="shared" ref="H63:H90" si="8">IFERROR((G63/$G$91),0)</f>
        <v>3.8461538461538457E-2</v>
      </c>
      <c r="I63" s="82">
        <f t="shared" ref="I63:I90" si="9">((G63)-(G63/4))</f>
        <v>2.5875000000000004</v>
      </c>
      <c r="J63" s="82">
        <f t="shared" ref="J63:J90" si="10">G63-I63</f>
        <v>0.86249999999999982</v>
      </c>
      <c r="K63" s="30"/>
    </row>
    <row r="64" spans="1:12" x14ac:dyDescent="0.25">
      <c r="A64" s="47" t="s">
        <v>153</v>
      </c>
      <c r="B64" s="47" t="s">
        <v>178</v>
      </c>
      <c r="C64" s="47">
        <v>45917</v>
      </c>
      <c r="D64" s="35" t="s">
        <v>148</v>
      </c>
      <c r="E64" s="38" t="s">
        <v>135</v>
      </c>
      <c r="F64" s="9" t="s">
        <v>110</v>
      </c>
      <c r="G64" s="75">
        <v>10.350000000000001</v>
      </c>
      <c r="H64" s="30">
        <f t="shared" si="8"/>
        <v>0.11538461538461538</v>
      </c>
      <c r="I64" s="82">
        <f t="shared" si="9"/>
        <v>7.7625000000000011</v>
      </c>
      <c r="J64" s="82">
        <f t="shared" si="10"/>
        <v>2.5875000000000004</v>
      </c>
      <c r="K64" s="30"/>
    </row>
    <row r="65" spans="1:11" x14ac:dyDescent="0.25">
      <c r="A65" s="47" t="s">
        <v>153</v>
      </c>
      <c r="B65" s="47" t="s">
        <v>178</v>
      </c>
      <c r="C65" s="47">
        <v>45917</v>
      </c>
      <c r="D65" s="35" t="s">
        <v>148</v>
      </c>
      <c r="E65" s="38" t="s">
        <v>135</v>
      </c>
      <c r="F65" s="9" t="s">
        <v>111</v>
      </c>
      <c r="G65" s="75">
        <v>6.9</v>
      </c>
      <c r="H65" s="30">
        <f t="shared" si="8"/>
        <v>7.6923076923076913E-2</v>
      </c>
      <c r="I65" s="82">
        <f t="shared" si="9"/>
        <v>5.1750000000000007</v>
      </c>
      <c r="J65" s="82">
        <f t="shared" si="10"/>
        <v>1.7249999999999996</v>
      </c>
      <c r="K65" s="30"/>
    </row>
    <row r="66" spans="1:11" x14ac:dyDescent="0.25">
      <c r="A66" s="47" t="s">
        <v>153</v>
      </c>
      <c r="B66" s="47" t="s">
        <v>178</v>
      </c>
      <c r="C66" s="47">
        <v>45917</v>
      </c>
      <c r="D66" s="35" t="s">
        <v>148</v>
      </c>
      <c r="E66" s="38" t="s">
        <v>135</v>
      </c>
      <c r="F66" s="9" t="s">
        <v>112</v>
      </c>
      <c r="G66" s="75">
        <v>10.350000000000001</v>
      </c>
      <c r="H66" s="30">
        <f t="shared" si="8"/>
        <v>0.11538461538461538</v>
      </c>
      <c r="I66" s="82">
        <f t="shared" si="9"/>
        <v>7.7625000000000011</v>
      </c>
      <c r="J66" s="82">
        <f t="shared" si="10"/>
        <v>2.5875000000000004</v>
      </c>
      <c r="K66" s="30"/>
    </row>
    <row r="67" spans="1:11" x14ac:dyDescent="0.25">
      <c r="A67" s="47" t="s">
        <v>153</v>
      </c>
      <c r="B67" s="47" t="s">
        <v>178</v>
      </c>
      <c r="C67" s="47">
        <v>45917</v>
      </c>
      <c r="D67" s="35" t="s">
        <v>148</v>
      </c>
      <c r="E67" s="38" t="s">
        <v>135</v>
      </c>
      <c r="F67" s="9" t="s">
        <v>113</v>
      </c>
      <c r="G67" s="75">
        <v>10.350000000000001</v>
      </c>
      <c r="H67" s="30">
        <f t="shared" si="8"/>
        <v>0.11538461538461538</v>
      </c>
      <c r="I67" s="82">
        <f t="shared" si="9"/>
        <v>7.7625000000000011</v>
      </c>
      <c r="J67" s="82">
        <f t="shared" si="10"/>
        <v>2.5875000000000004</v>
      </c>
      <c r="K67" s="30"/>
    </row>
    <row r="68" spans="1:11" x14ac:dyDescent="0.25">
      <c r="A68" s="47" t="s">
        <v>153</v>
      </c>
      <c r="B68" s="47" t="s">
        <v>178</v>
      </c>
      <c r="C68" s="47">
        <v>45917</v>
      </c>
      <c r="D68" s="35" t="s">
        <v>148</v>
      </c>
      <c r="E68" s="38" t="s">
        <v>135</v>
      </c>
      <c r="F68" s="9" t="s">
        <v>114</v>
      </c>
      <c r="G68" s="75">
        <v>10.350000000000001</v>
      </c>
      <c r="H68" s="30">
        <f t="shared" si="8"/>
        <v>0.11538461538461538</v>
      </c>
      <c r="I68" s="82">
        <f t="shared" si="9"/>
        <v>7.7625000000000011</v>
      </c>
      <c r="J68" s="82">
        <f t="shared" si="10"/>
        <v>2.5875000000000004</v>
      </c>
      <c r="K68" s="30"/>
    </row>
    <row r="69" spans="1:11" x14ac:dyDescent="0.25">
      <c r="A69" s="47" t="s">
        <v>153</v>
      </c>
      <c r="B69" s="47" t="s">
        <v>178</v>
      </c>
      <c r="C69" s="47">
        <v>45917</v>
      </c>
      <c r="D69" s="35" t="s">
        <v>148</v>
      </c>
      <c r="E69" s="38" t="s">
        <v>135</v>
      </c>
      <c r="F69" s="9" t="s">
        <v>115</v>
      </c>
      <c r="G69" s="75">
        <v>0</v>
      </c>
      <c r="H69" s="30">
        <f t="shared" si="8"/>
        <v>0</v>
      </c>
      <c r="I69" s="82">
        <f t="shared" si="9"/>
        <v>0</v>
      </c>
      <c r="J69" s="82">
        <f t="shared" si="10"/>
        <v>0</v>
      </c>
      <c r="K69" s="30"/>
    </row>
    <row r="70" spans="1:11" x14ac:dyDescent="0.25">
      <c r="A70" s="47" t="s">
        <v>153</v>
      </c>
      <c r="B70" s="47" t="s">
        <v>178</v>
      </c>
      <c r="C70" s="47">
        <v>45917</v>
      </c>
      <c r="D70" s="35" t="s">
        <v>148</v>
      </c>
      <c r="E70" s="38" t="s">
        <v>135</v>
      </c>
      <c r="F70" s="9" t="s">
        <v>116</v>
      </c>
      <c r="G70" s="75">
        <v>0</v>
      </c>
      <c r="H70" s="30">
        <f t="shared" si="8"/>
        <v>0</v>
      </c>
      <c r="I70" s="82">
        <f t="shared" si="9"/>
        <v>0</v>
      </c>
      <c r="J70" s="82">
        <f t="shared" si="10"/>
        <v>0</v>
      </c>
      <c r="K70" s="30"/>
    </row>
    <row r="71" spans="1:11" x14ac:dyDescent="0.25">
      <c r="A71" s="47" t="s">
        <v>153</v>
      </c>
      <c r="B71" s="47" t="s">
        <v>178</v>
      </c>
      <c r="C71" s="47">
        <v>45917</v>
      </c>
      <c r="D71" s="35" t="s">
        <v>148</v>
      </c>
      <c r="E71" s="38" t="s">
        <v>135</v>
      </c>
      <c r="F71" s="9" t="s">
        <v>117</v>
      </c>
      <c r="G71" s="75">
        <v>0</v>
      </c>
      <c r="H71" s="30">
        <f t="shared" si="8"/>
        <v>0</v>
      </c>
      <c r="I71" s="82">
        <f t="shared" si="9"/>
        <v>0</v>
      </c>
      <c r="J71" s="82">
        <f t="shared" si="10"/>
        <v>0</v>
      </c>
      <c r="K71" s="30"/>
    </row>
    <row r="72" spans="1:11" x14ac:dyDescent="0.25">
      <c r="A72" s="47" t="s">
        <v>153</v>
      </c>
      <c r="B72" s="47" t="s">
        <v>178</v>
      </c>
      <c r="C72" s="47">
        <v>45917</v>
      </c>
      <c r="D72" s="36" t="s">
        <v>62</v>
      </c>
      <c r="E72" s="45" t="s">
        <v>135</v>
      </c>
      <c r="F72" s="5" t="s">
        <v>118</v>
      </c>
      <c r="G72" s="75">
        <v>3.45</v>
      </c>
      <c r="H72" s="30">
        <f t="shared" si="8"/>
        <v>3.8461538461538457E-2</v>
      </c>
      <c r="I72" s="82">
        <f t="shared" si="9"/>
        <v>2.5875000000000004</v>
      </c>
      <c r="J72" s="82">
        <f t="shared" si="10"/>
        <v>0.86249999999999982</v>
      </c>
      <c r="K72" s="30"/>
    </row>
    <row r="73" spans="1:11" x14ac:dyDescent="0.25">
      <c r="A73" s="47" t="s">
        <v>153</v>
      </c>
      <c r="B73" s="47" t="s">
        <v>178</v>
      </c>
      <c r="C73" s="47">
        <v>45917</v>
      </c>
      <c r="D73" s="36" t="s">
        <v>62</v>
      </c>
      <c r="E73" s="45" t="s">
        <v>135</v>
      </c>
      <c r="F73" s="5" t="s">
        <v>24</v>
      </c>
      <c r="G73" s="75">
        <v>3.45</v>
      </c>
      <c r="H73" s="30">
        <f t="shared" si="8"/>
        <v>3.8461538461538457E-2</v>
      </c>
      <c r="I73" s="82">
        <f t="shared" si="9"/>
        <v>2.5875000000000004</v>
      </c>
      <c r="J73" s="82">
        <f t="shared" si="10"/>
        <v>0.86249999999999982</v>
      </c>
      <c r="K73" s="30"/>
    </row>
    <row r="74" spans="1:11" x14ac:dyDescent="0.25">
      <c r="A74" s="47" t="s">
        <v>153</v>
      </c>
      <c r="B74" s="47" t="s">
        <v>178</v>
      </c>
      <c r="C74" s="47">
        <v>45917</v>
      </c>
      <c r="D74" s="36" t="s">
        <v>62</v>
      </c>
      <c r="E74" s="45" t="s">
        <v>135</v>
      </c>
      <c r="F74" s="5" t="s">
        <v>25</v>
      </c>
      <c r="G74" s="75">
        <v>0</v>
      </c>
      <c r="H74" s="30">
        <f t="shared" si="8"/>
        <v>0</v>
      </c>
      <c r="I74" s="82">
        <f t="shared" si="9"/>
        <v>0</v>
      </c>
      <c r="J74" s="82">
        <f t="shared" si="10"/>
        <v>0</v>
      </c>
      <c r="K74" s="30"/>
    </row>
    <row r="75" spans="1:11" x14ac:dyDescent="0.25">
      <c r="A75" s="47" t="s">
        <v>153</v>
      </c>
      <c r="B75" s="47" t="s">
        <v>178</v>
      </c>
      <c r="C75" s="47">
        <v>45917</v>
      </c>
      <c r="D75" s="36" t="s">
        <v>62</v>
      </c>
      <c r="E75" s="45" t="s">
        <v>135</v>
      </c>
      <c r="F75" s="5" t="s">
        <v>26</v>
      </c>
      <c r="G75" s="75">
        <v>3.45</v>
      </c>
      <c r="H75" s="30">
        <f t="shared" si="8"/>
        <v>3.8461538461538457E-2</v>
      </c>
      <c r="I75" s="82">
        <f t="shared" si="9"/>
        <v>2.5875000000000004</v>
      </c>
      <c r="J75" s="82">
        <f t="shared" si="10"/>
        <v>0.86249999999999982</v>
      </c>
      <c r="K75" s="30"/>
    </row>
    <row r="76" spans="1:11" x14ac:dyDescent="0.25">
      <c r="A76" s="47" t="s">
        <v>153</v>
      </c>
      <c r="B76" s="47" t="s">
        <v>178</v>
      </c>
      <c r="C76" s="47">
        <v>45917</v>
      </c>
      <c r="D76" s="36" t="s">
        <v>62</v>
      </c>
      <c r="E76" s="45" t="s">
        <v>135</v>
      </c>
      <c r="F76" s="5" t="s">
        <v>27</v>
      </c>
      <c r="G76" s="75">
        <v>0</v>
      </c>
      <c r="H76" s="30">
        <f t="shared" si="8"/>
        <v>0</v>
      </c>
      <c r="I76" s="82">
        <f t="shared" si="9"/>
        <v>0</v>
      </c>
      <c r="J76" s="82">
        <f t="shared" si="10"/>
        <v>0</v>
      </c>
      <c r="K76" s="30"/>
    </row>
    <row r="77" spans="1:11" x14ac:dyDescent="0.25">
      <c r="A77" s="47" t="s">
        <v>153</v>
      </c>
      <c r="B77" s="47" t="s">
        <v>178</v>
      </c>
      <c r="C77" s="47">
        <v>45917</v>
      </c>
      <c r="D77" s="36" t="s">
        <v>62</v>
      </c>
      <c r="E77" s="45" t="s">
        <v>135</v>
      </c>
      <c r="F77" s="5" t="s">
        <v>28</v>
      </c>
      <c r="G77" s="75">
        <v>6.9</v>
      </c>
      <c r="H77" s="30">
        <f t="shared" si="8"/>
        <v>7.6923076923076913E-2</v>
      </c>
      <c r="I77" s="82">
        <f t="shared" si="9"/>
        <v>5.1750000000000007</v>
      </c>
      <c r="J77" s="82">
        <f t="shared" si="10"/>
        <v>1.7249999999999996</v>
      </c>
      <c r="K77" s="30"/>
    </row>
    <row r="78" spans="1:11" x14ac:dyDescent="0.25">
      <c r="A78" s="47" t="s">
        <v>153</v>
      </c>
      <c r="B78" s="47" t="s">
        <v>178</v>
      </c>
      <c r="C78" s="47">
        <v>45917</v>
      </c>
      <c r="D78" s="36" t="s">
        <v>62</v>
      </c>
      <c r="E78" s="45" t="s">
        <v>135</v>
      </c>
      <c r="F78" s="5" t="s">
        <v>119</v>
      </c>
      <c r="G78" s="75">
        <v>10.350000000000001</v>
      </c>
      <c r="H78" s="30">
        <f t="shared" si="8"/>
        <v>0.11538461538461538</v>
      </c>
      <c r="I78" s="82">
        <f t="shared" si="9"/>
        <v>7.7625000000000011</v>
      </c>
      <c r="J78" s="82">
        <f t="shared" si="10"/>
        <v>2.5875000000000004</v>
      </c>
      <c r="K78" s="30"/>
    </row>
    <row r="79" spans="1:11" x14ac:dyDescent="0.25">
      <c r="A79" s="47" t="s">
        <v>153</v>
      </c>
      <c r="B79" s="47" t="s">
        <v>178</v>
      </c>
      <c r="C79" s="47">
        <v>45917</v>
      </c>
      <c r="D79" s="36" t="s">
        <v>62</v>
      </c>
      <c r="E79" s="45" t="s">
        <v>135</v>
      </c>
      <c r="F79" s="5" t="s">
        <v>120</v>
      </c>
      <c r="G79" s="75">
        <v>0</v>
      </c>
      <c r="H79" s="30">
        <f t="shared" si="8"/>
        <v>0</v>
      </c>
      <c r="I79" s="82">
        <f t="shared" si="9"/>
        <v>0</v>
      </c>
      <c r="J79" s="82">
        <f t="shared" si="10"/>
        <v>0</v>
      </c>
      <c r="K79" s="30"/>
    </row>
    <row r="80" spans="1:11" x14ac:dyDescent="0.25">
      <c r="A80" s="47" t="s">
        <v>153</v>
      </c>
      <c r="B80" s="47" t="s">
        <v>178</v>
      </c>
      <c r="C80" s="47">
        <v>45917</v>
      </c>
      <c r="D80" s="36" t="s">
        <v>62</v>
      </c>
      <c r="E80" s="45" t="s">
        <v>135</v>
      </c>
      <c r="F80" s="5" t="s">
        <v>121</v>
      </c>
      <c r="G80" s="75">
        <v>0</v>
      </c>
      <c r="H80" s="30">
        <f t="shared" si="8"/>
        <v>0</v>
      </c>
      <c r="I80" s="82">
        <f t="shared" si="9"/>
        <v>0</v>
      </c>
      <c r="J80" s="82">
        <f t="shared" si="10"/>
        <v>0</v>
      </c>
      <c r="K80" s="30"/>
    </row>
    <row r="81" spans="1:12" x14ac:dyDescent="0.25">
      <c r="A81" s="47" t="s">
        <v>153</v>
      </c>
      <c r="B81" s="47" t="s">
        <v>178</v>
      </c>
      <c r="C81" s="47">
        <v>45917</v>
      </c>
      <c r="D81" s="36" t="s">
        <v>62</v>
      </c>
      <c r="E81" s="45" t="s">
        <v>135</v>
      </c>
      <c r="F81" s="5" t="s">
        <v>122</v>
      </c>
      <c r="G81" s="75">
        <v>0</v>
      </c>
      <c r="H81" s="30">
        <f t="shared" si="8"/>
        <v>0</v>
      </c>
      <c r="I81" s="82">
        <f t="shared" si="9"/>
        <v>0</v>
      </c>
      <c r="J81" s="82">
        <f t="shared" si="10"/>
        <v>0</v>
      </c>
      <c r="K81" s="30"/>
    </row>
    <row r="82" spans="1:12" x14ac:dyDescent="0.25">
      <c r="A82" s="47" t="s">
        <v>153</v>
      </c>
      <c r="B82" s="47" t="s">
        <v>178</v>
      </c>
      <c r="C82" s="47">
        <v>45917</v>
      </c>
      <c r="D82" s="48" t="s">
        <v>150</v>
      </c>
      <c r="E82" s="46" t="s">
        <v>135</v>
      </c>
      <c r="F82" s="10" t="s">
        <v>123</v>
      </c>
      <c r="G82" s="75">
        <v>6.9</v>
      </c>
      <c r="H82" s="30">
        <f t="shared" si="8"/>
        <v>7.6923076923076913E-2</v>
      </c>
      <c r="I82" s="82">
        <f t="shared" si="9"/>
        <v>5.1750000000000007</v>
      </c>
      <c r="J82" s="82">
        <f t="shared" si="10"/>
        <v>1.7249999999999996</v>
      </c>
      <c r="K82" s="30"/>
    </row>
    <row r="83" spans="1:12" x14ac:dyDescent="0.25">
      <c r="A83" s="47" t="s">
        <v>153</v>
      </c>
      <c r="B83" s="47" t="s">
        <v>178</v>
      </c>
      <c r="C83" s="47">
        <v>45917</v>
      </c>
      <c r="D83" s="48" t="s">
        <v>150</v>
      </c>
      <c r="E83" s="46" t="s">
        <v>135</v>
      </c>
      <c r="F83" s="10" t="s">
        <v>124</v>
      </c>
      <c r="G83" s="75">
        <v>0</v>
      </c>
      <c r="H83" s="30">
        <f t="shared" si="8"/>
        <v>0</v>
      </c>
      <c r="I83" s="82">
        <f t="shared" si="9"/>
        <v>0</v>
      </c>
      <c r="J83" s="82">
        <f t="shared" si="10"/>
        <v>0</v>
      </c>
      <c r="K83" s="30"/>
    </row>
    <row r="84" spans="1:12" x14ac:dyDescent="0.25">
      <c r="A84" s="47" t="s">
        <v>153</v>
      </c>
      <c r="B84" s="47" t="s">
        <v>178</v>
      </c>
      <c r="C84" s="47">
        <v>45917</v>
      </c>
      <c r="D84" s="48" t="s">
        <v>150</v>
      </c>
      <c r="E84" s="46" t="s">
        <v>135</v>
      </c>
      <c r="F84" s="10" t="s">
        <v>125</v>
      </c>
      <c r="G84" s="75">
        <v>0</v>
      </c>
      <c r="H84" s="30">
        <f t="shared" si="8"/>
        <v>0</v>
      </c>
      <c r="I84" s="82">
        <f t="shared" si="9"/>
        <v>0</v>
      </c>
      <c r="J84" s="82">
        <f t="shared" si="10"/>
        <v>0</v>
      </c>
      <c r="K84" s="30"/>
    </row>
    <row r="85" spans="1:12" x14ac:dyDescent="0.25">
      <c r="A85" s="47" t="s">
        <v>153</v>
      </c>
      <c r="B85" s="47" t="s">
        <v>178</v>
      </c>
      <c r="C85" s="47">
        <v>45917</v>
      </c>
      <c r="D85" s="48" t="s">
        <v>150</v>
      </c>
      <c r="E85" s="46" t="s">
        <v>135</v>
      </c>
      <c r="F85" s="10" t="s">
        <v>126</v>
      </c>
      <c r="G85" s="75">
        <v>0</v>
      </c>
      <c r="H85" s="30">
        <f t="shared" si="8"/>
        <v>0</v>
      </c>
      <c r="I85" s="82">
        <f t="shared" si="9"/>
        <v>0</v>
      </c>
      <c r="J85" s="82">
        <f t="shared" si="10"/>
        <v>0</v>
      </c>
      <c r="K85" s="30"/>
    </row>
    <row r="86" spans="1:12" x14ac:dyDescent="0.25">
      <c r="A86" s="47" t="s">
        <v>153</v>
      </c>
      <c r="B86" s="47" t="s">
        <v>178</v>
      </c>
      <c r="C86" s="47">
        <v>45917</v>
      </c>
      <c r="D86" s="48" t="s">
        <v>150</v>
      </c>
      <c r="E86" s="46" t="s">
        <v>135</v>
      </c>
      <c r="F86" s="10" t="s">
        <v>127</v>
      </c>
      <c r="G86" s="75">
        <v>0</v>
      </c>
      <c r="H86" s="30">
        <f t="shared" si="8"/>
        <v>0</v>
      </c>
      <c r="I86" s="82">
        <f t="shared" si="9"/>
        <v>0</v>
      </c>
      <c r="J86" s="82">
        <f t="shared" si="10"/>
        <v>0</v>
      </c>
      <c r="K86" s="30"/>
    </row>
    <row r="87" spans="1:12" x14ac:dyDescent="0.25">
      <c r="A87" s="47" t="s">
        <v>153</v>
      </c>
      <c r="B87" s="47" t="s">
        <v>178</v>
      </c>
      <c r="C87" s="47">
        <v>45917</v>
      </c>
      <c r="D87" s="48" t="s">
        <v>150</v>
      </c>
      <c r="E87" s="46" t="s">
        <v>135</v>
      </c>
      <c r="F87" s="10" t="s">
        <v>30</v>
      </c>
      <c r="G87" s="75">
        <v>0</v>
      </c>
      <c r="H87" s="30">
        <f t="shared" si="8"/>
        <v>0</v>
      </c>
      <c r="I87" s="82">
        <f t="shared" si="9"/>
        <v>0</v>
      </c>
      <c r="J87" s="82">
        <f t="shared" si="10"/>
        <v>0</v>
      </c>
      <c r="K87" s="30"/>
    </row>
    <row r="88" spans="1:12" x14ac:dyDescent="0.25">
      <c r="A88" s="47" t="s">
        <v>153</v>
      </c>
      <c r="B88" s="47" t="s">
        <v>178</v>
      </c>
      <c r="C88" s="47">
        <v>45917</v>
      </c>
      <c r="D88" s="36" t="s">
        <v>149</v>
      </c>
      <c r="E88" s="45" t="s">
        <v>135</v>
      </c>
      <c r="F88" s="5" t="s">
        <v>128</v>
      </c>
      <c r="G88" s="75">
        <v>0</v>
      </c>
      <c r="H88" s="30">
        <f t="shared" si="8"/>
        <v>0</v>
      </c>
      <c r="I88" s="82">
        <f t="shared" si="9"/>
        <v>0</v>
      </c>
      <c r="J88" s="82">
        <f t="shared" si="10"/>
        <v>0</v>
      </c>
      <c r="K88" s="30"/>
    </row>
    <row r="89" spans="1:12" x14ac:dyDescent="0.25">
      <c r="A89" s="47" t="s">
        <v>153</v>
      </c>
      <c r="B89" s="47" t="s">
        <v>178</v>
      </c>
      <c r="C89" s="47">
        <v>45917</v>
      </c>
      <c r="D89" s="36" t="s">
        <v>149</v>
      </c>
      <c r="E89" s="45" t="s">
        <v>135</v>
      </c>
      <c r="F89" s="5" t="s">
        <v>129</v>
      </c>
      <c r="G89" s="75">
        <v>0</v>
      </c>
      <c r="H89" s="30">
        <f t="shared" si="8"/>
        <v>0</v>
      </c>
      <c r="I89" s="82">
        <f t="shared" si="9"/>
        <v>0</v>
      </c>
      <c r="J89" s="82">
        <f t="shared" si="10"/>
        <v>0</v>
      </c>
      <c r="K89" s="30"/>
    </row>
    <row r="90" spans="1:12" x14ac:dyDescent="0.25">
      <c r="A90" s="47" t="s">
        <v>153</v>
      </c>
      <c r="B90" s="47" t="s">
        <v>178</v>
      </c>
      <c r="C90" s="47">
        <v>45917</v>
      </c>
      <c r="D90" s="36" t="s">
        <v>149</v>
      </c>
      <c r="E90" s="45" t="s">
        <v>135</v>
      </c>
      <c r="F90" s="5" t="s">
        <v>31</v>
      </c>
      <c r="G90" s="75">
        <v>0</v>
      </c>
      <c r="H90" s="30">
        <f t="shared" si="8"/>
        <v>0</v>
      </c>
      <c r="I90" s="82">
        <f t="shared" si="9"/>
        <v>0</v>
      </c>
      <c r="J90" s="82">
        <f t="shared" si="10"/>
        <v>0</v>
      </c>
      <c r="K90" s="30"/>
    </row>
    <row r="91" spans="1:12" x14ac:dyDescent="0.25">
      <c r="A91" s="39" t="s">
        <v>153</v>
      </c>
      <c r="B91" s="39" t="s">
        <v>178</v>
      </c>
      <c r="C91" s="41">
        <v>45917</v>
      </c>
      <c r="D91" s="42"/>
      <c r="E91" s="39" t="s">
        <v>135</v>
      </c>
      <c r="F91" s="42"/>
      <c r="G91" s="79">
        <f>SUM(G62:G90)</f>
        <v>89.700000000000017</v>
      </c>
      <c r="H91" s="44">
        <f>SUM(H62:H90)</f>
        <v>0.99999999999999978</v>
      </c>
      <c r="I91" s="83">
        <f>SUM(I62:I90)</f>
        <v>67.275000000000006</v>
      </c>
      <c r="J91" s="83">
        <f>SUM(J62:J90)</f>
        <v>22.425000000000004</v>
      </c>
      <c r="K91" s="43"/>
      <c r="L91" s="64"/>
    </row>
    <row r="92" spans="1:12" x14ac:dyDescent="0.25">
      <c r="A92" s="47" t="s">
        <v>153</v>
      </c>
      <c r="B92" s="47" t="s">
        <v>176</v>
      </c>
      <c r="C92" s="47">
        <v>45917</v>
      </c>
      <c r="D92" s="35" t="s">
        <v>148</v>
      </c>
      <c r="E92" s="38" t="s">
        <v>136</v>
      </c>
      <c r="F92" s="9" t="s">
        <v>108</v>
      </c>
      <c r="G92" s="75" cm="1">
        <f t="array" ref="G92:G120">TRANSPOSE(DIAGNÓSTICO!P26:AR26)</f>
        <v>0</v>
      </c>
      <c r="H92" s="30">
        <f>IFERROR((G92/$G$121),0)</f>
        <v>0</v>
      </c>
      <c r="I92" s="82">
        <f>I2/4</f>
        <v>0</v>
      </c>
      <c r="J92" s="82">
        <f>G2-I92</f>
        <v>0</v>
      </c>
      <c r="K92" s="30" t="str">
        <f>IF(G92&lt;=J92,$N$1,IF(G92=G2,$M$1,IF(G92&gt;J92,$O$1,0)))</f>
        <v>MEJORA</v>
      </c>
    </row>
    <row r="93" spans="1:12" x14ac:dyDescent="0.25">
      <c r="A93" s="47" t="s">
        <v>153</v>
      </c>
      <c r="B93" s="47" t="s">
        <v>176</v>
      </c>
      <c r="C93" s="47">
        <v>45917</v>
      </c>
      <c r="D93" s="35" t="s">
        <v>148</v>
      </c>
      <c r="E93" s="38" t="s">
        <v>136</v>
      </c>
      <c r="F93" s="9" t="s">
        <v>109</v>
      </c>
      <c r="G93" s="75">
        <v>0</v>
      </c>
      <c r="H93" s="30">
        <f t="shared" ref="H93:H120" si="11">IFERROR((G93/$G$121),0)</f>
        <v>0</v>
      </c>
      <c r="I93" s="82">
        <f t="shared" ref="I93:I120" si="12">I3/4</f>
        <v>1.9406250000000003</v>
      </c>
      <c r="J93" s="82">
        <f t="shared" ref="J93:J119" si="13">G3-I93</f>
        <v>8.4093750000000007</v>
      </c>
      <c r="K93" s="30" t="str">
        <f t="shared" ref="K93:K121" si="14">IF(G93&lt;=J93,$N$1,IF(G93=G3,$M$1,IF(G93&gt;J93,$O$1,0)))</f>
        <v>MEJORA</v>
      </c>
    </row>
    <row r="94" spans="1:12" x14ac:dyDescent="0.25">
      <c r="A94" s="47" t="s">
        <v>153</v>
      </c>
      <c r="B94" s="47" t="s">
        <v>176</v>
      </c>
      <c r="C94" s="47">
        <v>45917</v>
      </c>
      <c r="D94" s="35" t="s">
        <v>148</v>
      </c>
      <c r="E94" s="38" t="s">
        <v>136</v>
      </c>
      <c r="F94" s="9" t="s">
        <v>110</v>
      </c>
      <c r="G94" s="75">
        <v>0</v>
      </c>
      <c r="H94" s="30">
        <f t="shared" si="11"/>
        <v>0</v>
      </c>
      <c r="I94" s="82">
        <f t="shared" si="12"/>
        <v>0</v>
      </c>
      <c r="J94" s="82">
        <f t="shared" si="13"/>
        <v>0</v>
      </c>
      <c r="K94" s="30" t="str">
        <f t="shared" si="14"/>
        <v>MEJORA</v>
      </c>
    </row>
    <row r="95" spans="1:12" x14ac:dyDescent="0.25">
      <c r="A95" s="47" t="s">
        <v>153</v>
      </c>
      <c r="B95" s="47" t="s">
        <v>176</v>
      </c>
      <c r="C95" s="47">
        <v>45917</v>
      </c>
      <c r="D95" s="35" t="s">
        <v>148</v>
      </c>
      <c r="E95" s="38" t="s">
        <v>136</v>
      </c>
      <c r="F95" s="9" t="s">
        <v>111</v>
      </c>
      <c r="G95" s="75">
        <v>0</v>
      </c>
      <c r="H95" s="30">
        <f t="shared" si="11"/>
        <v>0</v>
      </c>
      <c r="I95" s="82">
        <f t="shared" si="12"/>
        <v>0</v>
      </c>
      <c r="J95" s="82">
        <f t="shared" si="13"/>
        <v>0</v>
      </c>
      <c r="K95" s="30" t="str">
        <f t="shared" si="14"/>
        <v>MEJORA</v>
      </c>
    </row>
    <row r="96" spans="1:12" x14ac:dyDescent="0.25">
      <c r="A96" s="47" t="s">
        <v>153</v>
      </c>
      <c r="B96" s="47" t="s">
        <v>176</v>
      </c>
      <c r="C96" s="47">
        <v>45917</v>
      </c>
      <c r="D96" s="35" t="s">
        <v>148</v>
      </c>
      <c r="E96" s="38" t="s">
        <v>136</v>
      </c>
      <c r="F96" s="9" t="s">
        <v>112</v>
      </c>
      <c r="G96" s="75">
        <v>0</v>
      </c>
      <c r="H96" s="30">
        <f t="shared" si="11"/>
        <v>0</v>
      </c>
      <c r="I96" s="82">
        <f t="shared" si="12"/>
        <v>2.5875000000000004</v>
      </c>
      <c r="J96" s="82">
        <f t="shared" si="13"/>
        <v>11.2125</v>
      </c>
      <c r="K96" s="30" t="str">
        <f t="shared" si="14"/>
        <v>MEJORA</v>
      </c>
    </row>
    <row r="97" spans="1:11" x14ac:dyDescent="0.25">
      <c r="A97" s="47" t="s">
        <v>153</v>
      </c>
      <c r="B97" s="47" t="s">
        <v>176</v>
      </c>
      <c r="C97" s="47">
        <v>45917</v>
      </c>
      <c r="D97" s="35" t="s">
        <v>148</v>
      </c>
      <c r="E97" s="38" t="s">
        <v>136</v>
      </c>
      <c r="F97" s="9" t="s">
        <v>113</v>
      </c>
      <c r="G97" s="75">
        <v>0</v>
      </c>
      <c r="H97" s="30">
        <f t="shared" si="11"/>
        <v>0</v>
      </c>
      <c r="I97" s="82">
        <f t="shared" si="12"/>
        <v>2.5875000000000004</v>
      </c>
      <c r="J97" s="82">
        <f t="shared" si="13"/>
        <v>11.2125</v>
      </c>
      <c r="K97" s="30" t="str">
        <f t="shared" si="14"/>
        <v>MEJORA</v>
      </c>
    </row>
    <row r="98" spans="1:11" x14ac:dyDescent="0.25">
      <c r="A98" s="47" t="s">
        <v>153</v>
      </c>
      <c r="B98" s="47" t="s">
        <v>176</v>
      </c>
      <c r="C98" s="47">
        <v>45917</v>
      </c>
      <c r="D98" s="35" t="s">
        <v>148</v>
      </c>
      <c r="E98" s="38" t="s">
        <v>136</v>
      </c>
      <c r="F98" s="9" t="s">
        <v>114</v>
      </c>
      <c r="G98" s="75">
        <v>0</v>
      </c>
      <c r="H98" s="30">
        <f t="shared" si="11"/>
        <v>0</v>
      </c>
      <c r="I98" s="82">
        <f t="shared" si="12"/>
        <v>3.234375</v>
      </c>
      <c r="J98" s="82">
        <f t="shared" si="13"/>
        <v>14.015625</v>
      </c>
      <c r="K98" s="30" t="str">
        <f t="shared" si="14"/>
        <v>MEJORA</v>
      </c>
    </row>
    <row r="99" spans="1:11" x14ac:dyDescent="0.25">
      <c r="A99" s="47" t="s">
        <v>153</v>
      </c>
      <c r="B99" s="47" t="s">
        <v>176</v>
      </c>
      <c r="C99" s="47">
        <v>45917</v>
      </c>
      <c r="D99" s="35" t="s">
        <v>148</v>
      </c>
      <c r="E99" s="38" t="s">
        <v>136</v>
      </c>
      <c r="F99" s="9" t="s">
        <v>115</v>
      </c>
      <c r="G99" s="75">
        <v>0</v>
      </c>
      <c r="H99" s="30">
        <f t="shared" si="11"/>
        <v>0</v>
      </c>
      <c r="I99" s="82">
        <f t="shared" si="12"/>
        <v>2.5875000000000004</v>
      </c>
      <c r="J99" s="82">
        <f t="shared" si="13"/>
        <v>11.2125</v>
      </c>
      <c r="K99" s="30" t="str">
        <f t="shared" si="14"/>
        <v>MEJORA</v>
      </c>
    </row>
    <row r="100" spans="1:11" x14ac:dyDescent="0.25">
      <c r="A100" s="47" t="s">
        <v>153</v>
      </c>
      <c r="B100" s="47" t="s">
        <v>176</v>
      </c>
      <c r="C100" s="47">
        <v>45917</v>
      </c>
      <c r="D100" s="35" t="s">
        <v>148</v>
      </c>
      <c r="E100" s="38" t="s">
        <v>136</v>
      </c>
      <c r="F100" s="9" t="s">
        <v>116</v>
      </c>
      <c r="G100" s="75">
        <v>0</v>
      </c>
      <c r="H100" s="30">
        <f t="shared" si="11"/>
        <v>0</v>
      </c>
      <c r="I100" s="82">
        <f t="shared" si="12"/>
        <v>0.64687500000000009</v>
      </c>
      <c r="J100" s="82">
        <f t="shared" si="13"/>
        <v>2.8031250000000001</v>
      </c>
      <c r="K100" s="30" t="str">
        <f t="shared" si="14"/>
        <v>MEJORA</v>
      </c>
    </row>
    <row r="101" spans="1:11" x14ac:dyDescent="0.25">
      <c r="A101" s="47" t="s">
        <v>153</v>
      </c>
      <c r="B101" s="47" t="s">
        <v>176</v>
      </c>
      <c r="C101" s="47">
        <v>45917</v>
      </c>
      <c r="D101" s="35" t="s">
        <v>148</v>
      </c>
      <c r="E101" s="38" t="s">
        <v>136</v>
      </c>
      <c r="F101" s="9" t="s">
        <v>117</v>
      </c>
      <c r="G101" s="75">
        <v>0</v>
      </c>
      <c r="H101" s="30">
        <f t="shared" si="11"/>
        <v>0</v>
      </c>
      <c r="I101" s="82">
        <f t="shared" si="12"/>
        <v>1.9406250000000003</v>
      </c>
      <c r="J101" s="82">
        <f t="shared" si="13"/>
        <v>8.4093750000000007</v>
      </c>
      <c r="K101" s="30" t="str">
        <f t="shared" si="14"/>
        <v>MEJORA</v>
      </c>
    </row>
    <row r="102" spans="1:11" x14ac:dyDescent="0.25">
      <c r="A102" s="47" t="s">
        <v>153</v>
      </c>
      <c r="B102" s="47" t="s">
        <v>176</v>
      </c>
      <c r="C102" s="47">
        <v>45917</v>
      </c>
      <c r="D102" s="36" t="s">
        <v>62</v>
      </c>
      <c r="E102" s="45" t="s">
        <v>136</v>
      </c>
      <c r="F102" s="5" t="s">
        <v>118</v>
      </c>
      <c r="G102" s="75">
        <v>0</v>
      </c>
      <c r="H102" s="30">
        <f t="shared" si="11"/>
        <v>0</v>
      </c>
      <c r="I102" s="82">
        <f t="shared" si="12"/>
        <v>0.64687500000000009</v>
      </c>
      <c r="J102" s="82">
        <f t="shared" si="13"/>
        <v>2.8031250000000001</v>
      </c>
      <c r="K102" s="30" t="str">
        <f t="shared" si="14"/>
        <v>MEJORA</v>
      </c>
    </row>
    <row r="103" spans="1:11" x14ac:dyDescent="0.25">
      <c r="A103" s="47" t="s">
        <v>153</v>
      </c>
      <c r="B103" s="47" t="s">
        <v>176</v>
      </c>
      <c r="C103" s="47">
        <v>45917</v>
      </c>
      <c r="D103" s="36" t="s">
        <v>62</v>
      </c>
      <c r="E103" s="45" t="s">
        <v>136</v>
      </c>
      <c r="F103" s="5" t="s">
        <v>24</v>
      </c>
      <c r="G103" s="75">
        <v>0</v>
      </c>
      <c r="H103" s="30">
        <f t="shared" si="11"/>
        <v>0</v>
      </c>
      <c r="I103" s="82">
        <f t="shared" si="12"/>
        <v>0</v>
      </c>
      <c r="J103" s="82">
        <f t="shared" si="13"/>
        <v>0</v>
      </c>
      <c r="K103" s="30" t="str">
        <f t="shared" si="14"/>
        <v>MEJORA</v>
      </c>
    </row>
    <row r="104" spans="1:11" x14ac:dyDescent="0.25">
      <c r="A104" s="47" t="s">
        <v>153</v>
      </c>
      <c r="B104" s="47" t="s">
        <v>176</v>
      </c>
      <c r="C104" s="47">
        <v>45917</v>
      </c>
      <c r="D104" s="36" t="s">
        <v>62</v>
      </c>
      <c r="E104" s="45" t="s">
        <v>136</v>
      </c>
      <c r="F104" s="5" t="s">
        <v>25</v>
      </c>
      <c r="G104" s="75">
        <v>0</v>
      </c>
      <c r="H104" s="30">
        <f t="shared" si="11"/>
        <v>0</v>
      </c>
      <c r="I104" s="82">
        <f t="shared" si="12"/>
        <v>0</v>
      </c>
      <c r="J104" s="82">
        <f t="shared" si="13"/>
        <v>0</v>
      </c>
      <c r="K104" s="30" t="str">
        <f t="shared" si="14"/>
        <v>MEJORA</v>
      </c>
    </row>
    <row r="105" spans="1:11" x14ac:dyDescent="0.25">
      <c r="A105" s="47" t="s">
        <v>153</v>
      </c>
      <c r="B105" s="47" t="s">
        <v>176</v>
      </c>
      <c r="C105" s="47">
        <v>45917</v>
      </c>
      <c r="D105" s="36" t="s">
        <v>62</v>
      </c>
      <c r="E105" s="45" t="s">
        <v>136</v>
      </c>
      <c r="F105" s="5" t="s">
        <v>26</v>
      </c>
      <c r="G105" s="75">
        <v>0</v>
      </c>
      <c r="H105" s="30">
        <f t="shared" si="11"/>
        <v>0</v>
      </c>
      <c r="I105" s="82">
        <f t="shared" si="12"/>
        <v>0</v>
      </c>
      <c r="J105" s="82">
        <f t="shared" si="13"/>
        <v>0</v>
      </c>
      <c r="K105" s="30" t="str">
        <f t="shared" si="14"/>
        <v>MEJORA</v>
      </c>
    </row>
    <row r="106" spans="1:11" x14ac:dyDescent="0.25">
      <c r="A106" s="47" t="s">
        <v>153</v>
      </c>
      <c r="B106" s="47" t="s">
        <v>176</v>
      </c>
      <c r="C106" s="47">
        <v>45917</v>
      </c>
      <c r="D106" s="36" t="s">
        <v>62</v>
      </c>
      <c r="E106" s="45" t="s">
        <v>136</v>
      </c>
      <c r="F106" s="5" t="s">
        <v>27</v>
      </c>
      <c r="G106" s="75">
        <v>0</v>
      </c>
      <c r="H106" s="30">
        <f t="shared" si="11"/>
        <v>0</v>
      </c>
      <c r="I106" s="82">
        <f t="shared" si="12"/>
        <v>0</v>
      </c>
      <c r="J106" s="82">
        <f t="shared" si="13"/>
        <v>0</v>
      </c>
      <c r="K106" s="30" t="str">
        <f t="shared" si="14"/>
        <v>MEJORA</v>
      </c>
    </row>
    <row r="107" spans="1:11" x14ac:dyDescent="0.25">
      <c r="A107" s="47" t="s">
        <v>153</v>
      </c>
      <c r="B107" s="47" t="s">
        <v>176</v>
      </c>
      <c r="C107" s="47">
        <v>45917</v>
      </c>
      <c r="D107" s="36" t="s">
        <v>62</v>
      </c>
      <c r="E107" s="45" t="s">
        <v>136</v>
      </c>
      <c r="F107" s="5" t="s">
        <v>28</v>
      </c>
      <c r="G107" s="75">
        <v>0</v>
      </c>
      <c r="H107" s="30">
        <f t="shared" si="11"/>
        <v>0</v>
      </c>
      <c r="I107" s="82">
        <f t="shared" si="12"/>
        <v>0</v>
      </c>
      <c r="J107" s="82">
        <f t="shared" si="13"/>
        <v>0</v>
      </c>
      <c r="K107" s="30" t="str">
        <f t="shared" si="14"/>
        <v>MEJORA</v>
      </c>
    </row>
    <row r="108" spans="1:11" x14ac:dyDescent="0.25">
      <c r="A108" s="47" t="s">
        <v>153</v>
      </c>
      <c r="B108" s="47" t="s">
        <v>176</v>
      </c>
      <c r="C108" s="47">
        <v>45917</v>
      </c>
      <c r="D108" s="36" t="s">
        <v>62</v>
      </c>
      <c r="E108" s="45" t="s">
        <v>136</v>
      </c>
      <c r="F108" s="5" t="s">
        <v>119</v>
      </c>
      <c r="G108" s="75">
        <v>0</v>
      </c>
      <c r="H108" s="30">
        <f t="shared" si="11"/>
        <v>0</v>
      </c>
      <c r="I108" s="82">
        <f t="shared" si="12"/>
        <v>0</v>
      </c>
      <c r="J108" s="82">
        <f t="shared" si="13"/>
        <v>0</v>
      </c>
      <c r="K108" s="30" t="str">
        <f t="shared" si="14"/>
        <v>MEJORA</v>
      </c>
    </row>
    <row r="109" spans="1:11" x14ac:dyDescent="0.25">
      <c r="A109" s="47" t="s">
        <v>153</v>
      </c>
      <c r="B109" s="47" t="s">
        <v>176</v>
      </c>
      <c r="C109" s="47">
        <v>45917</v>
      </c>
      <c r="D109" s="36" t="s">
        <v>62</v>
      </c>
      <c r="E109" s="45" t="s">
        <v>136</v>
      </c>
      <c r="F109" s="5" t="s">
        <v>120</v>
      </c>
      <c r="G109" s="75">
        <v>0</v>
      </c>
      <c r="H109" s="30">
        <f t="shared" si="11"/>
        <v>0</v>
      </c>
      <c r="I109" s="82">
        <f t="shared" si="12"/>
        <v>0</v>
      </c>
      <c r="J109" s="82">
        <f t="shared" si="13"/>
        <v>0</v>
      </c>
      <c r="K109" s="30" t="str">
        <f t="shared" si="14"/>
        <v>MEJORA</v>
      </c>
    </row>
    <row r="110" spans="1:11" x14ac:dyDescent="0.25">
      <c r="A110" s="47" t="s">
        <v>153</v>
      </c>
      <c r="B110" s="47" t="s">
        <v>176</v>
      </c>
      <c r="C110" s="47">
        <v>45917</v>
      </c>
      <c r="D110" s="36" t="s">
        <v>62</v>
      </c>
      <c r="E110" s="45" t="s">
        <v>136</v>
      </c>
      <c r="F110" s="5" t="s">
        <v>121</v>
      </c>
      <c r="G110" s="75">
        <v>0</v>
      </c>
      <c r="H110" s="30">
        <f t="shared" si="11"/>
        <v>0</v>
      </c>
      <c r="I110" s="82">
        <f t="shared" si="12"/>
        <v>0</v>
      </c>
      <c r="J110" s="82">
        <f t="shared" si="13"/>
        <v>0</v>
      </c>
      <c r="K110" s="30" t="str">
        <f t="shared" si="14"/>
        <v>MEJORA</v>
      </c>
    </row>
    <row r="111" spans="1:11" x14ac:dyDescent="0.25">
      <c r="A111" s="47" t="s">
        <v>153</v>
      </c>
      <c r="B111" s="47" t="s">
        <v>176</v>
      </c>
      <c r="C111" s="47">
        <v>45917</v>
      </c>
      <c r="D111" s="36" t="s">
        <v>62</v>
      </c>
      <c r="E111" s="45" t="s">
        <v>136</v>
      </c>
      <c r="F111" s="5" t="s">
        <v>122</v>
      </c>
      <c r="G111" s="75">
        <v>0</v>
      </c>
      <c r="H111" s="30">
        <f t="shared" si="11"/>
        <v>0</v>
      </c>
      <c r="I111" s="82">
        <f t="shared" si="12"/>
        <v>0</v>
      </c>
      <c r="J111" s="82">
        <f t="shared" si="13"/>
        <v>0</v>
      </c>
      <c r="K111" s="30" t="str">
        <f t="shared" si="14"/>
        <v>MEJORA</v>
      </c>
    </row>
    <row r="112" spans="1:11" x14ac:dyDescent="0.25">
      <c r="A112" s="47" t="s">
        <v>153</v>
      </c>
      <c r="B112" s="47" t="s">
        <v>176</v>
      </c>
      <c r="C112" s="47">
        <v>45917</v>
      </c>
      <c r="D112" s="48" t="s">
        <v>150</v>
      </c>
      <c r="E112" s="46" t="s">
        <v>136</v>
      </c>
      <c r="F112" s="10" t="s">
        <v>123</v>
      </c>
      <c r="G112" s="75">
        <v>0</v>
      </c>
      <c r="H112" s="30">
        <f t="shared" si="11"/>
        <v>0</v>
      </c>
      <c r="I112" s="82">
        <f t="shared" si="12"/>
        <v>0</v>
      </c>
      <c r="J112" s="82">
        <f t="shared" si="13"/>
        <v>0</v>
      </c>
      <c r="K112" s="30" t="str">
        <f t="shared" si="14"/>
        <v>MEJORA</v>
      </c>
    </row>
    <row r="113" spans="1:11" x14ac:dyDescent="0.25">
      <c r="A113" s="47" t="s">
        <v>153</v>
      </c>
      <c r="B113" s="47" t="s">
        <v>176</v>
      </c>
      <c r="C113" s="47">
        <v>45917</v>
      </c>
      <c r="D113" s="48" t="s">
        <v>150</v>
      </c>
      <c r="E113" s="46" t="s">
        <v>136</v>
      </c>
      <c r="F113" s="10" t="s">
        <v>124</v>
      </c>
      <c r="G113" s="75">
        <v>0</v>
      </c>
      <c r="H113" s="30">
        <f t="shared" si="11"/>
        <v>0</v>
      </c>
      <c r="I113" s="82">
        <f t="shared" si="12"/>
        <v>0.64687500000000009</v>
      </c>
      <c r="J113" s="82">
        <f t="shared" si="13"/>
        <v>2.8031250000000001</v>
      </c>
      <c r="K113" s="30" t="str">
        <f t="shared" si="14"/>
        <v>MEJORA</v>
      </c>
    </row>
    <row r="114" spans="1:11" x14ac:dyDescent="0.25">
      <c r="A114" s="47" t="s">
        <v>153</v>
      </c>
      <c r="B114" s="47" t="s">
        <v>176</v>
      </c>
      <c r="C114" s="47">
        <v>45917</v>
      </c>
      <c r="D114" s="48" t="s">
        <v>150</v>
      </c>
      <c r="E114" s="46" t="s">
        <v>136</v>
      </c>
      <c r="F114" s="10" t="s">
        <v>125</v>
      </c>
      <c r="G114" s="75">
        <v>0</v>
      </c>
      <c r="H114" s="30">
        <f t="shared" si="11"/>
        <v>0</v>
      </c>
      <c r="I114" s="82">
        <f t="shared" si="12"/>
        <v>0</v>
      </c>
      <c r="J114" s="82">
        <f t="shared" si="13"/>
        <v>0</v>
      </c>
      <c r="K114" s="30" t="str">
        <f t="shared" si="14"/>
        <v>MEJORA</v>
      </c>
    </row>
    <row r="115" spans="1:11" x14ac:dyDescent="0.25">
      <c r="A115" s="47" t="s">
        <v>153</v>
      </c>
      <c r="B115" s="47" t="s">
        <v>176</v>
      </c>
      <c r="C115" s="47">
        <v>45917</v>
      </c>
      <c r="D115" s="48" t="s">
        <v>150</v>
      </c>
      <c r="E115" s="46" t="s">
        <v>136</v>
      </c>
      <c r="F115" s="10" t="s">
        <v>126</v>
      </c>
      <c r="G115" s="75">
        <v>0</v>
      </c>
      <c r="H115" s="30">
        <f t="shared" si="11"/>
        <v>0</v>
      </c>
      <c r="I115" s="82">
        <f t="shared" si="12"/>
        <v>0</v>
      </c>
      <c r="J115" s="82">
        <f t="shared" si="13"/>
        <v>0</v>
      </c>
      <c r="K115" s="30" t="str">
        <f t="shared" si="14"/>
        <v>MEJORA</v>
      </c>
    </row>
    <row r="116" spans="1:11" x14ac:dyDescent="0.25">
      <c r="A116" s="47" t="s">
        <v>153</v>
      </c>
      <c r="B116" s="47" t="s">
        <v>176</v>
      </c>
      <c r="C116" s="47">
        <v>45917</v>
      </c>
      <c r="D116" s="48" t="s">
        <v>150</v>
      </c>
      <c r="E116" s="46" t="s">
        <v>136</v>
      </c>
      <c r="F116" s="10" t="s">
        <v>127</v>
      </c>
      <c r="G116" s="75">
        <v>0</v>
      </c>
      <c r="H116" s="30">
        <f t="shared" si="11"/>
        <v>0</v>
      </c>
      <c r="I116" s="82">
        <f t="shared" si="12"/>
        <v>0</v>
      </c>
      <c r="J116" s="82">
        <f t="shared" si="13"/>
        <v>0</v>
      </c>
      <c r="K116" s="30" t="str">
        <f t="shared" si="14"/>
        <v>MEJORA</v>
      </c>
    </row>
    <row r="117" spans="1:11" x14ac:dyDescent="0.25">
      <c r="A117" s="47" t="s">
        <v>153</v>
      </c>
      <c r="B117" s="47" t="s">
        <v>176</v>
      </c>
      <c r="C117" s="47">
        <v>45917</v>
      </c>
      <c r="D117" s="48" t="s">
        <v>150</v>
      </c>
      <c r="E117" s="46" t="s">
        <v>136</v>
      </c>
      <c r="F117" s="10" t="s">
        <v>30</v>
      </c>
      <c r="G117" s="75">
        <v>0</v>
      </c>
      <c r="H117" s="30">
        <f t="shared" si="11"/>
        <v>0</v>
      </c>
      <c r="I117" s="82">
        <f t="shared" si="12"/>
        <v>0</v>
      </c>
      <c r="J117" s="82">
        <f t="shared" si="13"/>
        <v>0</v>
      </c>
      <c r="K117" s="30" t="str">
        <f t="shared" si="14"/>
        <v>MEJORA</v>
      </c>
    </row>
    <row r="118" spans="1:11" x14ac:dyDescent="0.25">
      <c r="A118" s="47" t="s">
        <v>153</v>
      </c>
      <c r="B118" s="47" t="s">
        <v>176</v>
      </c>
      <c r="C118" s="47">
        <v>45917</v>
      </c>
      <c r="D118" s="36" t="s">
        <v>149</v>
      </c>
      <c r="E118" s="45" t="s">
        <v>136</v>
      </c>
      <c r="F118" s="5" t="s">
        <v>128</v>
      </c>
      <c r="G118" s="75">
        <v>0</v>
      </c>
      <c r="H118" s="30">
        <f t="shared" si="11"/>
        <v>0</v>
      </c>
      <c r="I118" s="82">
        <f t="shared" si="12"/>
        <v>0</v>
      </c>
      <c r="J118" s="82">
        <f t="shared" si="13"/>
        <v>0</v>
      </c>
      <c r="K118" s="30" t="str">
        <f t="shared" si="14"/>
        <v>MEJORA</v>
      </c>
    </row>
    <row r="119" spans="1:11" x14ac:dyDescent="0.25">
      <c r="A119" s="47" t="s">
        <v>153</v>
      </c>
      <c r="B119" s="47" t="s">
        <v>176</v>
      </c>
      <c r="C119" s="47">
        <v>45917</v>
      </c>
      <c r="D119" s="36" t="s">
        <v>149</v>
      </c>
      <c r="E119" s="45" t="s">
        <v>136</v>
      </c>
      <c r="F119" s="5" t="s">
        <v>129</v>
      </c>
      <c r="G119" s="75">
        <v>0</v>
      </c>
      <c r="H119" s="30">
        <f t="shared" si="11"/>
        <v>0</v>
      </c>
      <c r="I119" s="82">
        <f t="shared" si="12"/>
        <v>0</v>
      </c>
      <c r="J119" s="82">
        <f t="shared" si="13"/>
        <v>0</v>
      </c>
      <c r="K119" s="30" t="str">
        <f t="shared" si="14"/>
        <v>MEJORA</v>
      </c>
    </row>
    <row r="120" spans="1:11" x14ac:dyDescent="0.25">
      <c r="A120" s="47" t="s">
        <v>153</v>
      </c>
      <c r="B120" s="47" t="s">
        <v>176</v>
      </c>
      <c r="C120" s="47">
        <v>45917</v>
      </c>
      <c r="D120" s="36" t="s">
        <v>149</v>
      </c>
      <c r="E120" s="45" t="s">
        <v>136</v>
      </c>
      <c r="F120" s="5" t="s">
        <v>31</v>
      </c>
      <c r="G120" s="75">
        <v>0</v>
      </c>
      <c r="H120" s="30">
        <f t="shared" si="11"/>
        <v>0</v>
      </c>
      <c r="I120" s="82">
        <f t="shared" si="12"/>
        <v>0.64687500000000009</v>
      </c>
      <c r="J120" s="82">
        <f>G30-I120</f>
        <v>2.8031250000000001</v>
      </c>
      <c r="K120" s="30" t="str">
        <f t="shared" si="14"/>
        <v>MEJORA</v>
      </c>
    </row>
    <row r="121" spans="1:11" x14ac:dyDescent="0.25">
      <c r="A121" s="39" t="s">
        <v>153</v>
      </c>
      <c r="B121" s="39" t="s">
        <v>176</v>
      </c>
      <c r="C121" s="41">
        <v>45917</v>
      </c>
      <c r="D121" s="42"/>
      <c r="E121" s="39" t="s">
        <v>136</v>
      </c>
      <c r="F121" s="42"/>
      <c r="G121" s="79">
        <f>SUM(G92:G120)</f>
        <v>0</v>
      </c>
      <c r="H121" s="44">
        <f>SUM(H92:H120)</f>
        <v>0</v>
      </c>
      <c r="I121" s="79">
        <f t="shared" ref="I121" si="15">SUM(I92:I120)</f>
        <v>17.465625000000006</v>
      </c>
      <c r="J121" s="79">
        <f>G31-I121</f>
        <v>75.684375000000017</v>
      </c>
      <c r="K121" s="43" t="str">
        <f t="shared" si="14"/>
        <v>MEJORA</v>
      </c>
    </row>
    <row r="122" spans="1:11" x14ac:dyDescent="0.25">
      <c r="A122" s="47" t="s">
        <v>153</v>
      </c>
      <c r="B122" s="47" t="s">
        <v>177</v>
      </c>
      <c r="C122" s="47">
        <v>45917</v>
      </c>
      <c r="D122" s="35" t="s">
        <v>148</v>
      </c>
      <c r="E122" s="38" t="s">
        <v>136</v>
      </c>
      <c r="F122" s="9" t="s">
        <v>108</v>
      </c>
      <c r="G122" s="75" cm="1">
        <f t="array" ref="G122:G150">TRANSPOSE(DIAGNÓSTICO!P32:AR32)</f>
        <v>0</v>
      </c>
      <c r="H122" s="30">
        <f>IFERROR((G122/$G$151),0)</f>
        <v>0</v>
      </c>
      <c r="I122" s="82">
        <f>I32/4</f>
        <v>1.2937500000000002</v>
      </c>
      <c r="J122" s="82">
        <f>G32-I122</f>
        <v>5.6062500000000002</v>
      </c>
      <c r="K122" s="30" t="str">
        <f>IF(G122&lt;=J122,$N$1,IF(G122=G32,$M$1,IF(G122&gt;G32,$O$1,0)))</f>
        <v>MEJORA</v>
      </c>
    </row>
    <row r="123" spans="1:11" x14ac:dyDescent="0.25">
      <c r="A123" s="47" t="s">
        <v>153</v>
      </c>
      <c r="B123" s="47" t="s">
        <v>177</v>
      </c>
      <c r="C123" s="47">
        <v>45917</v>
      </c>
      <c r="D123" s="35" t="s">
        <v>148</v>
      </c>
      <c r="E123" s="38" t="s">
        <v>136</v>
      </c>
      <c r="F123" s="9" t="s">
        <v>109</v>
      </c>
      <c r="G123" s="75">
        <v>0</v>
      </c>
      <c r="H123" s="30">
        <f t="shared" ref="H123:H150" si="16">IFERROR((G123/$G$151),0)</f>
        <v>0</v>
      </c>
      <c r="I123" s="82">
        <f t="shared" ref="I123:I149" si="17">I33/4</f>
        <v>1.9406250000000003</v>
      </c>
      <c r="J123" s="82">
        <f t="shared" ref="J123:J151" si="18">G33-I123</f>
        <v>8.4093750000000007</v>
      </c>
      <c r="K123" s="30" t="str">
        <f t="shared" ref="K123:K151" si="19">IF(G123&lt;=J123,$N$1,IF(G123=G33,$M$1,IF(G123&gt;J123,$O$1,0)))</f>
        <v>MEJORA</v>
      </c>
    </row>
    <row r="124" spans="1:11" x14ac:dyDescent="0.25">
      <c r="A124" s="47" t="s">
        <v>153</v>
      </c>
      <c r="B124" s="47" t="s">
        <v>177</v>
      </c>
      <c r="C124" s="47">
        <v>45917</v>
      </c>
      <c r="D124" s="35" t="s">
        <v>148</v>
      </c>
      <c r="E124" s="38" t="s">
        <v>136</v>
      </c>
      <c r="F124" s="9" t="s">
        <v>110</v>
      </c>
      <c r="G124" s="75">
        <v>0</v>
      </c>
      <c r="H124" s="30">
        <f t="shared" si="16"/>
        <v>0</v>
      </c>
      <c r="I124" s="82">
        <f t="shared" si="17"/>
        <v>0.64687500000000009</v>
      </c>
      <c r="J124" s="82">
        <f t="shared" si="18"/>
        <v>2.8031250000000001</v>
      </c>
      <c r="K124" s="30" t="str">
        <f t="shared" si="19"/>
        <v>MEJORA</v>
      </c>
    </row>
    <row r="125" spans="1:11" x14ac:dyDescent="0.25">
      <c r="A125" s="47" t="s">
        <v>153</v>
      </c>
      <c r="B125" s="47" t="s">
        <v>177</v>
      </c>
      <c r="C125" s="47">
        <v>45917</v>
      </c>
      <c r="D125" s="35" t="s">
        <v>148</v>
      </c>
      <c r="E125" s="38" t="s">
        <v>136</v>
      </c>
      <c r="F125" s="9" t="s">
        <v>111</v>
      </c>
      <c r="G125" s="75">
        <v>0</v>
      </c>
      <c r="H125" s="30">
        <f t="shared" si="16"/>
        <v>0</v>
      </c>
      <c r="I125" s="82">
        <f t="shared" si="17"/>
        <v>1.2937500000000002</v>
      </c>
      <c r="J125" s="82">
        <f t="shared" si="18"/>
        <v>5.6062500000000002</v>
      </c>
      <c r="K125" s="30" t="str">
        <f t="shared" si="19"/>
        <v>MEJORA</v>
      </c>
    </row>
    <row r="126" spans="1:11" x14ac:dyDescent="0.25">
      <c r="A126" s="47" t="s">
        <v>153</v>
      </c>
      <c r="B126" s="47" t="s">
        <v>177</v>
      </c>
      <c r="C126" s="47">
        <v>45917</v>
      </c>
      <c r="D126" s="35" t="s">
        <v>148</v>
      </c>
      <c r="E126" s="38" t="s">
        <v>136</v>
      </c>
      <c r="F126" s="9" t="s">
        <v>112</v>
      </c>
      <c r="G126" s="75">
        <v>0</v>
      </c>
      <c r="H126" s="30">
        <f t="shared" si="16"/>
        <v>0</v>
      </c>
      <c r="I126" s="82">
        <f t="shared" si="17"/>
        <v>0.64687500000000009</v>
      </c>
      <c r="J126" s="82">
        <f t="shared" si="18"/>
        <v>2.8031250000000001</v>
      </c>
      <c r="K126" s="30" t="str">
        <f t="shared" si="19"/>
        <v>MEJORA</v>
      </c>
    </row>
    <row r="127" spans="1:11" x14ac:dyDescent="0.25">
      <c r="A127" s="47" t="s">
        <v>153</v>
      </c>
      <c r="B127" s="47" t="s">
        <v>177</v>
      </c>
      <c r="C127" s="47">
        <v>45917</v>
      </c>
      <c r="D127" s="35" t="s">
        <v>148</v>
      </c>
      <c r="E127" s="38" t="s">
        <v>136</v>
      </c>
      <c r="F127" s="9" t="s">
        <v>113</v>
      </c>
      <c r="G127" s="75">
        <v>0</v>
      </c>
      <c r="H127" s="30">
        <f t="shared" si="16"/>
        <v>0</v>
      </c>
      <c r="I127" s="82">
        <f t="shared" si="17"/>
        <v>1.2937500000000002</v>
      </c>
      <c r="J127" s="82">
        <f t="shared" si="18"/>
        <v>5.6062500000000002</v>
      </c>
      <c r="K127" s="30" t="str">
        <f t="shared" si="19"/>
        <v>MEJORA</v>
      </c>
    </row>
    <row r="128" spans="1:11" x14ac:dyDescent="0.25">
      <c r="A128" s="47" t="s">
        <v>153</v>
      </c>
      <c r="B128" s="47" t="s">
        <v>177</v>
      </c>
      <c r="C128" s="47">
        <v>45917</v>
      </c>
      <c r="D128" s="35" t="s">
        <v>148</v>
      </c>
      <c r="E128" s="38" t="s">
        <v>136</v>
      </c>
      <c r="F128" s="9" t="s">
        <v>114</v>
      </c>
      <c r="G128" s="75">
        <v>0</v>
      </c>
      <c r="H128" s="30">
        <f t="shared" si="16"/>
        <v>0</v>
      </c>
      <c r="I128" s="82">
        <f t="shared" si="17"/>
        <v>1.2937500000000002</v>
      </c>
      <c r="J128" s="82">
        <f t="shared" si="18"/>
        <v>5.6062500000000002</v>
      </c>
      <c r="K128" s="30" t="str">
        <f t="shared" si="19"/>
        <v>MEJORA</v>
      </c>
    </row>
    <row r="129" spans="1:11" x14ac:dyDescent="0.25">
      <c r="A129" s="47" t="s">
        <v>153</v>
      </c>
      <c r="B129" s="47" t="s">
        <v>177</v>
      </c>
      <c r="C129" s="47">
        <v>45917</v>
      </c>
      <c r="D129" s="35" t="s">
        <v>148</v>
      </c>
      <c r="E129" s="38" t="s">
        <v>136</v>
      </c>
      <c r="F129" s="9" t="s">
        <v>115</v>
      </c>
      <c r="G129" s="75">
        <v>0</v>
      </c>
      <c r="H129" s="30">
        <f t="shared" si="16"/>
        <v>0</v>
      </c>
      <c r="I129" s="82">
        <f t="shared" si="17"/>
        <v>0.64687500000000009</v>
      </c>
      <c r="J129" s="82">
        <f t="shared" si="18"/>
        <v>2.8031250000000001</v>
      </c>
      <c r="K129" s="30" t="str">
        <f t="shared" si="19"/>
        <v>MEJORA</v>
      </c>
    </row>
    <row r="130" spans="1:11" x14ac:dyDescent="0.25">
      <c r="A130" s="47" t="s">
        <v>153</v>
      </c>
      <c r="B130" s="47" t="s">
        <v>177</v>
      </c>
      <c r="C130" s="47">
        <v>45917</v>
      </c>
      <c r="D130" s="35" t="s">
        <v>148</v>
      </c>
      <c r="E130" s="38" t="s">
        <v>136</v>
      </c>
      <c r="F130" s="9" t="s">
        <v>116</v>
      </c>
      <c r="G130" s="75">
        <v>0</v>
      </c>
      <c r="H130" s="30">
        <f t="shared" si="16"/>
        <v>0</v>
      </c>
      <c r="I130" s="82">
        <f t="shared" si="17"/>
        <v>0.64687500000000009</v>
      </c>
      <c r="J130" s="82">
        <f t="shared" si="18"/>
        <v>2.8031250000000001</v>
      </c>
      <c r="K130" s="30" t="str">
        <f t="shared" si="19"/>
        <v>MEJORA</v>
      </c>
    </row>
    <row r="131" spans="1:11" x14ac:dyDescent="0.25">
      <c r="A131" s="47" t="s">
        <v>153</v>
      </c>
      <c r="B131" s="47" t="s">
        <v>177</v>
      </c>
      <c r="C131" s="47">
        <v>45917</v>
      </c>
      <c r="D131" s="35" t="s">
        <v>148</v>
      </c>
      <c r="E131" s="38" t="s">
        <v>136</v>
      </c>
      <c r="F131" s="9" t="s">
        <v>117</v>
      </c>
      <c r="G131" s="75">
        <v>0</v>
      </c>
      <c r="H131" s="30">
        <f t="shared" si="16"/>
        <v>0</v>
      </c>
      <c r="I131" s="82">
        <f t="shared" si="17"/>
        <v>0.64687500000000009</v>
      </c>
      <c r="J131" s="82">
        <f t="shared" si="18"/>
        <v>2.8031250000000001</v>
      </c>
      <c r="K131" s="30" t="str">
        <f t="shared" si="19"/>
        <v>MEJORA</v>
      </c>
    </row>
    <row r="132" spans="1:11" x14ac:dyDescent="0.25">
      <c r="A132" s="47" t="s">
        <v>153</v>
      </c>
      <c r="B132" s="47" t="s">
        <v>177</v>
      </c>
      <c r="C132" s="47">
        <v>45917</v>
      </c>
      <c r="D132" s="36" t="s">
        <v>62</v>
      </c>
      <c r="E132" s="45" t="s">
        <v>136</v>
      </c>
      <c r="F132" s="5" t="s">
        <v>118</v>
      </c>
      <c r="G132" s="75">
        <v>0</v>
      </c>
      <c r="H132" s="30">
        <f t="shared" si="16"/>
        <v>0</v>
      </c>
      <c r="I132" s="82">
        <f t="shared" si="17"/>
        <v>0</v>
      </c>
      <c r="J132" s="82">
        <f t="shared" si="18"/>
        <v>0</v>
      </c>
      <c r="K132" s="30" t="str">
        <f t="shared" si="19"/>
        <v>MEJORA</v>
      </c>
    </row>
    <row r="133" spans="1:11" x14ac:dyDescent="0.25">
      <c r="A133" s="47" t="s">
        <v>153</v>
      </c>
      <c r="B133" s="47" t="s">
        <v>177</v>
      </c>
      <c r="C133" s="47">
        <v>45917</v>
      </c>
      <c r="D133" s="36" t="s">
        <v>62</v>
      </c>
      <c r="E133" s="45" t="s">
        <v>136</v>
      </c>
      <c r="F133" s="5" t="s">
        <v>24</v>
      </c>
      <c r="G133" s="75">
        <v>0</v>
      </c>
      <c r="H133" s="30">
        <f t="shared" si="16"/>
        <v>0</v>
      </c>
      <c r="I133" s="82">
        <f>I43/4</f>
        <v>0</v>
      </c>
      <c r="J133" s="82">
        <f t="shared" si="18"/>
        <v>0</v>
      </c>
      <c r="K133" s="30" t="str">
        <f t="shared" si="19"/>
        <v>MEJORA</v>
      </c>
    </row>
    <row r="134" spans="1:11" x14ac:dyDescent="0.25">
      <c r="A134" s="47" t="s">
        <v>153</v>
      </c>
      <c r="B134" s="47" t="s">
        <v>177</v>
      </c>
      <c r="C134" s="47">
        <v>45917</v>
      </c>
      <c r="D134" s="36" t="s">
        <v>62</v>
      </c>
      <c r="E134" s="45" t="s">
        <v>136</v>
      </c>
      <c r="F134" s="5" t="s">
        <v>25</v>
      </c>
      <c r="G134" s="75">
        <v>0</v>
      </c>
      <c r="H134" s="30">
        <f t="shared" si="16"/>
        <v>0</v>
      </c>
      <c r="I134" s="82">
        <f t="shared" si="17"/>
        <v>0</v>
      </c>
      <c r="J134" s="82">
        <f t="shared" si="18"/>
        <v>0</v>
      </c>
      <c r="K134" s="30" t="str">
        <f t="shared" si="19"/>
        <v>MEJORA</v>
      </c>
    </row>
    <row r="135" spans="1:11" x14ac:dyDescent="0.25">
      <c r="A135" s="47" t="s">
        <v>153</v>
      </c>
      <c r="B135" s="47" t="s">
        <v>177</v>
      </c>
      <c r="C135" s="47">
        <v>45917</v>
      </c>
      <c r="D135" s="36" t="s">
        <v>62</v>
      </c>
      <c r="E135" s="45" t="s">
        <v>136</v>
      </c>
      <c r="F135" s="5" t="s">
        <v>26</v>
      </c>
      <c r="G135" s="75">
        <v>0</v>
      </c>
      <c r="H135" s="30">
        <f t="shared" si="16"/>
        <v>0</v>
      </c>
      <c r="I135" s="82">
        <f t="shared" si="17"/>
        <v>0</v>
      </c>
      <c r="J135" s="82">
        <f t="shared" si="18"/>
        <v>0</v>
      </c>
      <c r="K135" s="30" t="str">
        <f t="shared" si="19"/>
        <v>MEJORA</v>
      </c>
    </row>
    <row r="136" spans="1:11" x14ac:dyDescent="0.25">
      <c r="A136" s="47" t="s">
        <v>153</v>
      </c>
      <c r="B136" s="47" t="s">
        <v>177</v>
      </c>
      <c r="C136" s="47">
        <v>45917</v>
      </c>
      <c r="D136" s="36" t="s">
        <v>62</v>
      </c>
      <c r="E136" s="45" t="s">
        <v>136</v>
      </c>
      <c r="F136" s="5" t="s">
        <v>27</v>
      </c>
      <c r="G136" s="75">
        <v>0</v>
      </c>
      <c r="H136" s="30">
        <f t="shared" si="16"/>
        <v>0</v>
      </c>
      <c r="I136" s="82">
        <f t="shared" si="17"/>
        <v>0</v>
      </c>
      <c r="J136" s="82">
        <f t="shared" si="18"/>
        <v>0</v>
      </c>
      <c r="K136" s="30" t="str">
        <f t="shared" si="19"/>
        <v>MEJORA</v>
      </c>
    </row>
    <row r="137" spans="1:11" x14ac:dyDescent="0.25">
      <c r="A137" s="47" t="s">
        <v>153</v>
      </c>
      <c r="B137" s="47" t="s">
        <v>177</v>
      </c>
      <c r="C137" s="47">
        <v>45917</v>
      </c>
      <c r="D137" s="36" t="s">
        <v>62</v>
      </c>
      <c r="E137" s="45" t="s">
        <v>136</v>
      </c>
      <c r="F137" s="5" t="s">
        <v>28</v>
      </c>
      <c r="G137" s="75">
        <v>0</v>
      </c>
      <c r="H137" s="30">
        <f t="shared" si="16"/>
        <v>0</v>
      </c>
      <c r="I137" s="82">
        <f t="shared" si="17"/>
        <v>0.64687500000000009</v>
      </c>
      <c r="J137" s="82">
        <f t="shared" si="18"/>
        <v>2.8031250000000001</v>
      </c>
      <c r="K137" s="30" t="str">
        <f t="shared" si="19"/>
        <v>MEJORA</v>
      </c>
    </row>
    <row r="138" spans="1:11" x14ac:dyDescent="0.25">
      <c r="A138" s="47" t="s">
        <v>153</v>
      </c>
      <c r="B138" s="47" t="s">
        <v>177</v>
      </c>
      <c r="C138" s="47">
        <v>45917</v>
      </c>
      <c r="D138" s="36" t="s">
        <v>62</v>
      </c>
      <c r="E138" s="45" t="s">
        <v>136</v>
      </c>
      <c r="F138" s="5" t="s">
        <v>119</v>
      </c>
      <c r="G138" s="75">
        <v>0</v>
      </c>
      <c r="H138" s="30">
        <f t="shared" si="16"/>
        <v>0</v>
      </c>
      <c r="I138" s="82">
        <f t="shared" si="17"/>
        <v>0</v>
      </c>
      <c r="J138" s="82">
        <f t="shared" si="18"/>
        <v>0</v>
      </c>
      <c r="K138" s="30" t="str">
        <f t="shared" si="19"/>
        <v>MEJORA</v>
      </c>
    </row>
    <row r="139" spans="1:11" x14ac:dyDescent="0.25">
      <c r="A139" s="47" t="s">
        <v>153</v>
      </c>
      <c r="B139" s="47" t="s">
        <v>177</v>
      </c>
      <c r="C139" s="47">
        <v>45917</v>
      </c>
      <c r="D139" s="36" t="s">
        <v>62</v>
      </c>
      <c r="E139" s="45" t="s">
        <v>136</v>
      </c>
      <c r="F139" s="5" t="s">
        <v>120</v>
      </c>
      <c r="G139" s="75">
        <v>0</v>
      </c>
      <c r="H139" s="30">
        <f t="shared" si="16"/>
        <v>0</v>
      </c>
      <c r="I139" s="82">
        <f t="shared" si="17"/>
        <v>0</v>
      </c>
      <c r="J139" s="82">
        <f t="shared" si="18"/>
        <v>0</v>
      </c>
      <c r="K139" s="30" t="str">
        <f t="shared" si="19"/>
        <v>MEJORA</v>
      </c>
    </row>
    <row r="140" spans="1:11" x14ac:dyDescent="0.25">
      <c r="A140" s="47" t="s">
        <v>153</v>
      </c>
      <c r="B140" s="47" t="s">
        <v>177</v>
      </c>
      <c r="C140" s="47">
        <v>45917</v>
      </c>
      <c r="D140" s="36" t="s">
        <v>62</v>
      </c>
      <c r="E140" s="45" t="s">
        <v>136</v>
      </c>
      <c r="F140" s="5" t="s">
        <v>121</v>
      </c>
      <c r="G140" s="75">
        <v>0</v>
      </c>
      <c r="H140" s="30">
        <f t="shared" si="16"/>
        <v>0</v>
      </c>
      <c r="I140" s="82">
        <f t="shared" si="17"/>
        <v>0</v>
      </c>
      <c r="J140" s="82">
        <f t="shared" si="18"/>
        <v>0</v>
      </c>
      <c r="K140" s="30" t="str">
        <f t="shared" si="19"/>
        <v>MEJORA</v>
      </c>
    </row>
    <row r="141" spans="1:11" x14ac:dyDescent="0.25">
      <c r="A141" s="47" t="s">
        <v>153</v>
      </c>
      <c r="B141" s="47" t="s">
        <v>177</v>
      </c>
      <c r="C141" s="47">
        <v>45917</v>
      </c>
      <c r="D141" s="36" t="s">
        <v>62</v>
      </c>
      <c r="E141" s="45" t="s">
        <v>136</v>
      </c>
      <c r="F141" s="5" t="s">
        <v>122</v>
      </c>
      <c r="G141" s="75">
        <v>0</v>
      </c>
      <c r="H141" s="30">
        <f t="shared" si="16"/>
        <v>0</v>
      </c>
      <c r="I141" s="82">
        <f t="shared" si="17"/>
        <v>0</v>
      </c>
      <c r="J141" s="82">
        <f t="shared" si="18"/>
        <v>0</v>
      </c>
      <c r="K141" s="30" t="str">
        <f t="shared" si="19"/>
        <v>MEJORA</v>
      </c>
    </row>
    <row r="142" spans="1:11" x14ac:dyDescent="0.25">
      <c r="A142" s="47" t="s">
        <v>153</v>
      </c>
      <c r="B142" s="47" t="s">
        <v>177</v>
      </c>
      <c r="C142" s="47">
        <v>45917</v>
      </c>
      <c r="D142" s="48" t="s">
        <v>150</v>
      </c>
      <c r="E142" s="46" t="s">
        <v>136</v>
      </c>
      <c r="F142" s="10" t="s">
        <v>123</v>
      </c>
      <c r="G142" s="75">
        <v>0</v>
      </c>
      <c r="H142" s="30">
        <f t="shared" si="16"/>
        <v>0</v>
      </c>
      <c r="I142" s="82">
        <f t="shared" si="17"/>
        <v>1.2937500000000002</v>
      </c>
      <c r="J142" s="82">
        <f t="shared" si="18"/>
        <v>5.6062500000000002</v>
      </c>
      <c r="K142" s="30" t="str">
        <f t="shared" si="19"/>
        <v>MEJORA</v>
      </c>
    </row>
    <row r="143" spans="1:11" x14ac:dyDescent="0.25">
      <c r="A143" s="47" t="s">
        <v>153</v>
      </c>
      <c r="B143" s="47" t="s">
        <v>177</v>
      </c>
      <c r="C143" s="47">
        <v>45917</v>
      </c>
      <c r="D143" s="48" t="s">
        <v>150</v>
      </c>
      <c r="E143" s="46" t="s">
        <v>136</v>
      </c>
      <c r="F143" s="10" t="s">
        <v>124</v>
      </c>
      <c r="G143" s="75">
        <v>0</v>
      </c>
      <c r="H143" s="30">
        <f t="shared" si="16"/>
        <v>0</v>
      </c>
      <c r="I143" s="82">
        <f t="shared" si="17"/>
        <v>0</v>
      </c>
      <c r="J143" s="82">
        <f t="shared" si="18"/>
        <v>0</v>
      </c>
      <c r="K143" s="30" t="str">
        <f t="shared" si="19"/>
        <v>MEJORA</v>
      </c>
    </row>
    <row r="144" spans="1:11" x14ac:dyDescent="0.25">
      <c r="A144" s="47" t="s">
        <v>153</v>
      </c>
      <c r="B144" s="47" t="s">
        <v>177</v>
      </c>
      <c r="C144" s="47">
        <v>45917</v>
      </c>
      <c r="D144" s="48" t="s">
        <v>150</v>
      </c>
      <c r="E144" s="46" t="s">
        <v>136</v>
      </c>
      <c r="F144" s="10" t="s">
        <v>125</v>
      </c>
      <c r="G144" s="75">
        <v>0</v>
      </c>
      <c r="H144" s="30">
        <f t="shared" si="16"/>
        <v>0</v>
      </c>
      <c r="I144" s="82">
        <f t="shared" si="17"/>
        <v>0</v>
      </c>
      <c r="J144" s="82">
        <f t="shared" si="18"/>
        <v>0</v>
      </c>
      <c r="K144" s="30" t="str">
        <f t="shared" si="19"/>
        <v>MEJORA</v>
      </c>
    </row>
    <row r="145" spans="1:11" x14ac:dyDescent="0.25">
      <c r="A145" s="47" t="s">
        <v>153</v>
      </c>
      <c r="B145" s="47" t="s">
        <v>177</v>
      </c>
      <c r="C145" s="47">
        <v>45917</v>
      </c>
      <c r="D145" s="48" t="s">
        <v>150</v>
      </c>
      <c r="E145" s="46" t="s">
        <v>136</v>
      </c>
      <c r="F145" s="10" t="s">
        <v>126</v>
      </c>
      <c r="G145" s="75">
        <v>0</v>
      </c>
      <c r="H145" s="30">
        <f t="shared" si="16"/>
        <v>0</v>
      </c>
      <c r="I145" s="82">
        <f t="shared" si="17"/>
        <v>0</v>
      </c>
      <c r="J145" s="82">
        <f t="shared" si="18"/>
        <v>0</v>
      </c>
      <c r="K145" s="30" t="str">
        <f t="shared" si="19"/>
        <v>MEJORA</v>
      </c>
    </row>
    <row r="146" spans="1:11" x14ac:dyDescent="0.25">
      <c r="A146" s="47" t="s">
        <v>153</v>
      </c>
      <c r="B146" s="47" t="s">
        <v>177</v>
      </c>
      <c r="C146" s="47">
        <v>45917</v>
      </c>
      <c r="D146" s="48" t="s">
        <v>150</v>
      </c>
      <c r="E146" s="46" t="s">
        <v>136</v>
      </c>
      <c r="F146" s="10" t="s">
        <v>127</v>
      </c>
      <c r="G146" s="75">
        <v>0</v>
      </c>
      <c r="H146" s="30">
        <f t="shared" si="16"/>
        <v>0</v>
      </c>
      <c r="I146" s="82">
        <f t="shared" si="17"/>
        <v>0</v>
      </c>
      <c r="J146" s="82">
        <f t="shared" si="18"/>
        <v>0</v>
      </c>
      <c r="K146" s="30" t="str">
        <f t="shared" si="19"/>
        <v>MEJORA</v>
      </c>
    </row>
    <row r="147" spans="1:11" x14ac:dyDescent="0.25">
      <c r="A147" s="47" t="s">
        <v>153</v>
      </c>
      <c r="B147" s="47" t="s">
        <v>177</v>
      </c>
      <c r="C147" s="47">
        <v>45917</v>
      </c>
      <c r="D147" s="48" t="s">
        <v>150</v>
      </c>
      <c r="E147" s="46" t="s">
        <v>136</v>
      </c>
      <c r="F147" s="10" t="s">
        <v>30</v>
      </c>
      <c r="G147" s="75">
        <v>0</v>
      </c>
      <c r="H147" s="30">
        <f t="shared" si="16"/>
        <v>0</v>
      </c>
      <c r="I147" s="82">
        <f t="shared" si="17"/>
        <v>0</v>
      </c>
      <c r="J147" s="82">
        <f t="shared" si="18"/>
        <v>0</v>
      </c>
      <c r="K147" s="30" t="str">
        <f t="shared" si="19"/>
        <v>MEJORA</v>
      </c>
    </row>
    <row r="148" spans="1:11" x14ac:dyDescent="0.25">
      <c r="A148" s="47" t="s">
        <v>153</v>
      </c>
      <c r="B148" s="47" t="s">
        <v>177</v>
      </c>
      <c r="C148" s="47">
        <v>45917</v>
      </c>
      <c r="D148" s="36" t="s">
        <v>149</v>
      </c>
      <c r="E148" s="45" t="s">
        <v>136</v>
      </c>
      <c r="F148" s="5" t="s">
        <v>128</v>
      </c>
      <c r="G148" s="75">
        <v>0</v>
      </c>
      <c r="H148" s="30">
        <f t="shared" si="16"/>
        <v>0</v>
      </c>
      <c r="I148" s="82">
        <f t="shared" si="17"/>
        <v>0</v>
      </c>
      <c r="J148" s="82">
        <f t="shared" si="18"/>
        <v>0</v>
      </c>
      <c r="K148" s="30" t="str">
        <f t="shared" si="19"/>
        <v>MEJORA</v>
      </c>
    </row>
    <row r="149" spans="1:11" x14ac:dyDescent="0.25">
      <c r="A149" s="47" t="s">
        <v>153</v>
      </c>
      <c r="B149" s="47" t="s">
        <v>177</v>
      </c>
      <c r="C149" s="47">
        <v>45917</v>
      </c>
      <c r="D149" s="36" t="s">
        <v>149</v>
      </c>
      <c r="E149" s="45" t="s">
        <v>136</v>
      </c>
      <c r="F149" s="5" t="s">
        <v>129</v>
      </c>
      <c r="G149" s="75">
        <v>0</v>
      </c>
      <c r="H149" s="30">
        <f t="shared" si="16"/>
        <v>0</v>
      </c>
      <c r="I149" s="82">
        <f t="shared" si="17"/>
        <v>0</v>
      </c>
      <c r="J149" s="82">
        <f t="shared" si="18"/>
        <v>0</v>
      </c>
      <c r="K149" s="30" t="str">
        <f t="shared" si="19"/>
        <v>MEJORA</v>
      </c>
    </row>
    <row r="150" spans="1:11" x14ac:dyDescent="0.25">
      <c r="A150" s="47" t="s">
        <v>153</v>
      </c>
      <c r="B150" s="47" t="s">
        <v>177</v>
      </c>
      <c r="C150" s="47">
        <v>45917</v>
      </c>
      <c r="D150" s="36" t="s">
        <v>149</v>
      </c>
      <c r="E150" s="45" t="s">
        <v>136</v>
      </c>
      <c r="F150" s="5" t="s">
        <v>31</v>
      </c>
      <c r="G150" s="75">
        <v>0</v>
      </c>
      <c r="H150" s="30">
        <f t="shared" si="16"/>
        <v>0</v>
      </c>
      <c r="I150" s="82">
        <f>I60/4</f>
        <v>0</v>
      </c>
      <c r="J150" s="82">
        <f t="shared" si="18"/>
        <v>0</v>
      </c>
      <c r="K150" s="30" t="str">
        <f t="shared" si="19"/>
        <v>MEJORA</v>
      </c>
    </row>
    <row r="151" spans="1:11" x14ac:dyDescent="0.25">
      <c r="A151" s="39" t="s">
        <v>153</v>
      </c>
      <c r="B151" s="39" t="s">
        <v>177</v>
      </c>
      <c r="C151" s="41">
        <v>45917</v>
      </c>
      <c r="D151" s="42"/>
      <c r="E151" s="39" t="s">
        <v>136</v>
      </c>
      <c r="F151" s="42"/>
      <c r="G151" s="79">
        <f>SUM(G122:G150)</f>
        <v>0</v>
      </c>
      <c r="H151" s="44">
        <f>SUM(H122:H150)</f>
        <v>0</v>
      </c>
      <c r="I151" s="83">
        <f>SUM(I122:I150)</f>
        <v>12.290624999999999</v>
      </c>
      <c r="J151" s="83">
        <f t="shared" si="18"/>
        <v>53.259375000000013</v>
      </c>
      <c r="K151" s="30" t="str">
        <f t="shared" si="19"/>
        <v>MEJORA</v>
      </c>
    </row>
    <row r="152" spans="1:11" x14ac:dyDescent="0.25">
      <c r="A152" s="47" t="s">
        <v>153</v>
      </c>
      <c r="B152" s="47" t="s">
        <v>178</v>
      </c>
      <c r="C152" s="47">
        <v>45917</v>
      </c>
      <c r="D152" s="35" t="s">
        <v>148</v>
      </c>
      <c r="E152" s="38" t="s">
        <v>136</v>
      </c>
      <c r="F152" s="9" t="s">
        <v>108</v>
      </c>
      <c r="G152" s="75" cm="1">
        <f t="array" ref="G152:G180">TRANSPOSE(DIAGNÓSTICO!P38:AR38)</f>
        <v>0</v>
      </c>
      <c r="H152" s="30">
        <f>IFERROR((G152/$G$181),0)</f>
        <v>0</v>
      </c>
      <c r="I152" s="82">
        <f>I62/4</f>
        <v>0.64687500000000009</v>
      </c>
      <c r="J152" s="82">
        <f>G62-I152</f>
        <v>2.8031250000000001</v>
      </c>
      <c r="K152" s="30" t="str">
        <f t="shared" ref="K152:K181" si="20">IF(G152&lt;=J152,$N$1,IF(G152=G122,$M$1,IF(G152&gt;G122,$O$1,0)))</f>
        <v>MEJORA</v>
      </c>
    </row>
    <row r="153" spans="1:11" x14ac:dyDescent="0.25">
      <c r="A153" s="47" t="s">
        <v>153</v>
      </c>
      <c r="B153" s="47" t="s">
        <v>178</v>
      </c>
      <c r="C153" s="47">
        <v>45917</v>
      </c>
      <c r="D153" s="35" t="s">
        <v>148</v>
      </c>
      <c r="E153" s="38" t="s">
        <v>136</v>
      </c>
      <c r="F153" s="9" t="s">
        <v>109</v>
      </c>
      <c r="G153" s="75">
        <v>0</v>
      </c>
      <c r="H153" s="30">
        <f t="shared" ref="H153:H180" si="21">IFERROR((G153/$G$181),0)</f>
        <v>0</v>
      </c>
      <c r="I153" s="82">
        <f t="shared" ref="I153:I180" si="22">I63/4</f>
        <v>0.64687500000000009</v>
      </c>
      <c r="J153" s="82">
        <f t="shared" ref="J153:J181" si="23">G63-I153</f>
        <v>2.8031250000000001</v>
      </c>
      <c r="K153" s="30" t="str">
        <f t="shared" si="20"/>
        <v>MEJORA</v>
      </c>
    </row>
    <row r="154" spans="1:11" x14ac:dyDescent="0.25">
      <c r="A154" s="47" t="s">
        <v>153</v>
      </c>
      <c r="B154" s="47" t="s">
        <v>178</v>
      </c>
      <c r="C154" s="47">
        <v>45917</v>
      </c>
      <c r="D154" s="35" t="s">
        <v>148</v>
      </c>
      <c r="E154" s="38" t="s">
        <v>136</v>
      </c>
      <c r="F154" s="9" t="s">
        <v>110</v>
      </c>
      <c r="G154" s="75">
        <v>0</v>
      </c>
      <c r="H154" s="30">
        <f t="shared" si="21"/>
        <v>0</v>
      </c>
      <c r="I154" s="82">
        <f t="shared" si="22"/>
        <v>1.9406250000000003</v>
      </c>
      <c r="J154" s="82">
        <f t="shared" si="23"/>
        <v>8.4093750000000007</v>
      </c>
      <c r="K154" s="30" t="str">
        <f t="shared" si="20"/>
        <v>MEJORA</v>
      </c>
    </row>
    <row r="155" spans="1:11" x14ac:dyDescent="0.25">
      <c r="A155" s="47" t="s">
        <v>153</v>
      </c>
      <c r="B155" s="47" t="s">
        <v>178</v>
      </c>
      <c r="C155" s="47">
        <v>45917</v>
      </c>
      <c r="D155" s="35" t="s">
        <v>148</v>
      </c>
      <c r="E155" s="38" t="s">
        <v>136</v>
      </c>
      <c r="F155" s="9" t="s">
        <v>111</v>
      </c>
      <c r="G155" s="75">
        <v>0</v>
      </c>
      <c r="H155" s="30">
        <f t="shared" si="21"/>
        <v>0</v>
      </c>
      <c r="I155" s="82">
        <f t="shared" si="22"/>
        <v>1.2937500000000002</v>
      </c>
      <c r="J155" s="82">
        <f t="shared" si="23"/>
        <v>5.6062500000000002</v>
      </c>
      <c r="K155" s="30" t="str">
        <f t="shared" si="20"/>
        <v>MEJORA</v>
      </c>
    </row>
    <row r="156" spans="1:11" x14ac:dyDescent="0.25">
      <c r="A156" s="47" t="s">
        <v>153</v>
      </c>
      <c r="B156" s="47" t="s">
        <v>178</v>
      </c>
      <c r="C156" s="47">
        <v>45917</v>
      </c>
      <c r="D156" s="35" t="s">
        <v>148</v>
      </c>
      <c r="E156" s="38" t="s">
        <v>136</v>
      </c>
      <c r="F156" s="9" t="s">
        <v>112</v>
      </c>
      <c r="G156" s="75">
        <v>0</v>
      </c>
      <c r="H156" s="30">
        <f t="shared" si="21"/>
        <v>0</v>
      </c>
      <c r="I156" s="82">
        <f t="shared" si="22"/>
        <v>1.9406250000000003</v>
      </c>
      <c r="J156" s="82">
        <f t="shared" si="23"/>
        <v>8.4093750000000007</v>
      </c>
      <c r="K156" s="30" t="str">
        <f t="shared" si="20"/>
        <v>MEJORA</v>
      </c>
    </row>
    <row r="157" spans="1:11" x14ac:dyDescent="0.25">
      <c r="A157" s="47" t="s">
        <v>153</v>
      </c>
      <c r="B157" s="47" t="s">
        <v>178</v>
      </c>
      <c r="C157" s="47">
        <v>45917</v>
      </c>
      <c r="D157" s="35" t="s">
        <v>148</v>
      </c>
      <c r="E157" s="38" t="s">
        <v>136</v>
      </c>
      <c r="F157" s="9" t="s">
        <v>113</v>
      </c>
      <c r="G157" s="75">
        <v>0</v>
      </c>
      <c r="H157" s="30">
        <f t="shared" si="21"/>
        <v>0</v>
      </c>
      <c r="I157" s="82">
        <f t="shared" si="22"/>
        <v>1.9406250000000003</v>
      </c>
      <c r="J157" s="82">
        <f t="shared" si="23"/>
        <v>8.4093750000000007</v>
      </c>
      <c r="K157" s="30" t="str">
        <f t="shared" si="20"/>
        <v>MEJORA</v>
      </c>
    </row>
    <row r="158" spans="1:11" x14ac:dyDescent="0.25">
      <c r="A158" s="47" t="s">
        <v>153</v>
      </c>
      <c r="B158" s="47" t="s">
        <v>178</v>
      </c>
      <c r="C158" s="47">
        <v>45917</v>
      </c>
      <c r="D158" s="35" t="s">
        <v>148</v>
      </c>
      <c r="E158" s="38" t="s">
        <v>136</v>
      </c>
      <c r="F158" s="9" t="s">
        <v>114</v>
      </c>
      <c r="G158" s="75">
        <v>0</v>
      </c>
      <c r="H158" s="30">
        <f t="shared" si="21"/>
        <v>0</v>
      </c>
      <c r="I158" s="82">
        <f t="shared" si="22"/>
        <v>1.9406250000000003</v>
      </c>
      <c r="J158" s="82">
        <f t="shared" si="23"/>
        <v>8.4093750000000007</v>
      </c>
      <c r="K158" s="30" t="str">
        <f t="shared" si="20"/>
        <v>MEJORA</v>
      </c>
    </row>
    <row r="159" spans="1:11" x14ac:dyDescent="0.25">
      <c r="A159" s="47" t="s">
        <v>153</v>
      </c>
      <c r="B159" s="47" t="s">
        <v>178</v>
      </c>
      <c r="C159" s="47">
        <v>45917</v>
      </c>
      <c r="D159" s="35" t="s">
        <v>148</v>
      </c>
      <c r="E159" s="38" t="s">
        <v>136</v>
      </c>
      <c r="F159" s="9" t="s">
        <v>115</v>
      </c>
      <c r="G159" s="75">
        <v>0</v>
      </c>
      <c r="H159" s="30">
        <f t="shared" si="21"/>
        <v>0</v>
      </c>
      <c r="I159" s="82">
        <f t="shared" si="22"/>
        <v>0</v>
      </c>
      <c r="J159" s="82">
        <f t="shared" si="23"/>
        <v>0</v>
      </c>
      <c r="K159" s="30" t="str">
        <f t="shared" si="20"/>
        <v>MEJORA</v>
      </c>
    </row>
    <row r="160" spans="1:11" x14ac:dyDescent="0.25">
      <c r="A160" s="47" t="s">
        <v>153</v>
      </c>
      <c r="B160" s="47" t="s">
        <v>178</v>
      </c>
      <c r="C160" s="47">
        <v>45917</v>
      </c>
      <c r="D160" s="35" t="s">
        <v>148</v>
      </c>
      <c r="E160" s="38" t="s">
        <v>136</v>
      </c>
      <c r="F160" s="9" t="s">
        <v>116</v>
      </c>
      <c r="G160" s="75">
        <v>0</v>
      </c>
      <c r="H160" s="30">
        <f t="shared" si="21"/>
        <v>0</v>
      </c>
      <c r="I160" s="82">
        <f t="shared" si="22"/>
        <v>0</v>
      </c>
      <c r="J160" s="82">
        <f t="shared" si="23"/>
        <v>0</v>
      </c>
      <c r="K160" s="30" t="str">
        <f t="shared" si="20"/>
        <v>MEJORA</v>
      </c>
    </row>
    <row r="161" spans="1:11" x14ac:dyDescent="0.25">
      <c r="A161" s="47" t="s">
        <v>153</v>
      </c>
      <c r="B161" s="47" t="s">
        <v>178</v>
      </c>
      <c r="C161" s="47">
        <v>45917</v>
      </c>
      <c r="D161" s="35" t="s">
        <v>148</v>
      </c>
      <c r="E161" s="38" t="s">
        <v>136</v>
      </c>
      <c r="F161" s="9" t="s">
        <v>117</v>
      </c>
      <c r="G161" s="75">
        <v>0</v>
      </c>
      <c r="H161" s="30">
        <f t="shared" si="21"/>
        <v>0</v>
      </c>
      <c r="I161" s="82">
        <f t="shared" si="22"/>
        <v>0</v>
      </c>
      <c r="J161" s="82">
        <f t="shared" si="23"/>
        <v>0</v>
      </c>
      <c r="K161" s="30" t="str">
        <f t="shared" si="20"/>
        <v>MEJORA</v>
      </c>
    </row>
    <row r="162" spans="1:11" x14ac:dyDescent="0.25">
      <c r="A162" s="47" t="s">
        <v>153</v>
      </c>
      <c r="B162" s="47" t="s">
        <v>178</v>
      </c>
      <c r="C162" s="47">
        <v>45917</v>
      </c>
      <c r="D162" s="36" t="s">
        <v>62</v>
      </c>
      <c r="E162" s="45" t="s">
        <v>136</v>
      </c>
      <c r="F162" s="5" t="s">
        <v>118</v>
      </c>
      <c r="G162" s="75">
        <v>0</v>
      </c>
      <c r="H162" s="30">
        <f t="shared" si="21"/>
        <v>0</v>
      </c>
      <c r="I162" s="82">
        <f t="shared" si="22"/>
        <v>0.64687500000000009</v>
      </c>
      <c r="J162" s="82">
        <f t="shared" si="23"/>
        <v>2.8031250000000001</v>
      </c>
      <c r="K162" s="30" t="str">
        <f t="shared" si="20"/>
        <v>MEJORA</v>
      </c>
    </row>
    <row r="163" spans="1:11" x14ac:dyDescent="0.25">
      <c r="A163" s="47" t="s">
        <v>153</v>
      </c>
      <c r="B163" s="47" t="s">
        <v>178</v>
      </c>
      <c r="C163" s="47">
        <v>45917</v>
      </c>
      <c r="D163" s="36" t="s">
        <v>62</v>
      </c>
      <c r="E163" s="45" t="s">
        <v>136</v>
      </c>
      <c r="F163" s="5" t="s">
        <v>24</v>
      </c>
      <c r="G163" s="75">
        <v>0</v>
      </c>
      <c r="H163" s="30">
        <f t="shared" si="21"/>
        <v>0</v>
      </c>
      <c r="I163" s="82">
        <f t="shared" si="22"/>
        <v>0.64687500000000009</v>
      </c>
      <c r="J163" s="82">
        <f t="shared" si="23"/>
        <v>2.8031250000000001</v>
      </c>
      <c r="K163" s="30" t="str">
        <f t="shared" si="20"/>
        <v>MEJORA</v>
      </c>
    </row>
    <row r="164" spans="1:11" x14ac:dyDescent="0.25">
      <c r="A164" s="47" t="s">
        <v>153</v>
      </c>
      <c r="B164" s="47" t="s">
        <v>178</v>
      </c>
      <c r="C164" s="47">
        <v>45917</v>
      </c>
      <c r="D164" s="36" t="s">
        <v>62</v>
      </c>
      <c r="E164" s="45" t="s">
        <v>136</v>
      </c>
      <c r="F164" s="5" t="s">
        <v>25</v>
      </c>
      <c r="G164" s="75">
        <v>0</v>
      </c>
      <c r="H164" s="30">
        <f t="shared" si="21"/>
        <v>0</v>
      </c>
      <c r="I164" s="82">
        <f t="shared" si="22"/>
        <v>0</v>
      </c>
      <c r="J164" s="82">
        <f t="shared" si="23"/>
        <v>0</v>
      </c>
      <c r="K164" s="30" t="str">
        <f t="shared" si="20"/>
        <v>MEJORA</v>
      </c>
    </row>
    <row r="165" spans="1:11" x14ac:dyDescent="0.25">
      <c r="A165" s="47" t="s">
        <v>153</v>
      </c>
      <c r="B165" s="47" t="s">
        <v>178</v>
      </c>
      <c r="C165" s="47">
        <v>45917</v>
      </c>
      <c r="D165" s="36" t="s">
        <v>62</v>
      </c>
      <c r="E165" s="45" t="s">
        <v>136</v>
      </c>
      <c r="F165" s="5" t="s">
        <v>26</v>
      </c>
      <c r="G165" s="75">
        <v>0</v>
      </c>
      <c r="H165" s="30">
        <f t="shared" si="21"/>
        <v>0</v>
      </c>
      <c r="I165" s="82">
        <f t="shared" si="22"/>
        <v>0.64687500000000009</v>
      </c>
      <c r="J165" s="82">
        <f t="shared" si="23"/>
        <v>2.8031250000000001</v>
      </c>
      <c r="K165" s="30" t="str">
        <f t="shared" si="20"/>
        <v>MEJORA</v>
      </c>
    </row>
    <row r="166" spans="1:11" x14ac:dyDescent="0.25">
      <c r="A166" s="47" t="s">
        <v>153</v>
      </c>
      <c r="B166" s="47" t="s">
        <v>178</v>
      </c>
      <c r="C166" s="47">
        <v>45917</v>
      </c>
      <c r="D166" s="36" t="s">
        <v>62</v>
      </c>
      <c r="E166" s="45" t="s">
        <v>136</v>
      </c>
      <c r="F166" s="5" t="s">
        <v>27</v>
      </c>
      <c r="G166" s="75">
        <v>0</v>
      </c>
      <c r="H166" s="30">
        <f t="shared" si="21"/>
        <v>0</v>
      </c>
      <c r="I166" s="82">
        <f t="shared" si="22"/>
        <v>0</v>
      </c>
      <c r="J166" s="82">
        <f t="shared" si="23"/>
        <v>0</v>
      </c>
      <c r="K166" s="30" t="str">
        <f t="shared" si="20"/>
        <v>MEJORA</v>
      </c>
    </row>
    <row r="167" spans="1:11" x14ac:dyDescent="0.25">
      <c r="A167" s="47" t="s">
        <v>153</v>
      </c>
      <c r="B167" s="47" t="s">
        <v>178</v>
      </c>
      <c r="C167" s="47">
        <v>45917</v>
      </c>
      <c r="D167" s="36" t="s">
        <v>62</v>
      </c>
      <c r="E167" s="45" t="s">
        <v>136</v>
      </c>
      <c r="F167" s="5" t="s">
        <v>28</v>
      </c>
      <c r="G167" s="75">
        <v>0</v>
      </c>
      <c r="H167" s="30">
        <f t="shared" si="21"/>
        <v>0</v>
      </c>
      <c r="I167" s="82">
        <f t="shared" si="22"/>
        <v>1.2937500000000002</v>
      </c>
      <c r="J167" s="82">
        <f t="shared" si="23"/>
        <v>5.6062500000000002</v>
      </c>
      <c r="K167" s="30" t="str">
        <f t="shared" si="20"/>
        <v>MEJORA</v>
      </c>
    </row>
    <row r="168" spans="1:11" x14ac:dyDescent="0.25">
      <c r="A168" s="47" t="s">
        <v>153</v>
      </c>
      <c r="B168" s="47" t="s">
        <v>178</v>
      </c>
      <c r="C168" s="47">
        <v>45917</v>
      </c>
      <c r="D168" s="36" t="s">
        <v>62</v>
      </c>
      <c r="E168" s="45" t="s">
        <v>136</v>
      </c>
      <c r="F168" s="5" t="s">
        <v>119</v>
      </c>
      <c r="G168" s="75">
        <v>0</v>
      </c>
      <c r="H168" s="30">
        <f t="shared" si="21"/>
        <v>0</v>
      </c>
      <c r="I168" s="82">
        <f t="shared" si="22"/>
        <v>1.9406250000000003</v>
      </c>
      <c r="J168" s="82">
        <f t="shared" si="23"/>
        <v>8.4093750000000007</v>
      </c>
      <c r="K168" s="30" t="str">
        <f t="shared" si="20"/>
        <v>MEJORA</v>
      </c>
    </row>
    <row r="169" spans="1:11" x14ac:dyDescent="0.25">
      <c r="A169" s="47" t="s">
        <v>153</v>
      </c>
      <c r="B169" s="47" t="s">
        <v>178</v>
      </c>
      <c r="C169" s="47">
        <v>45917</v>
      </c>
      <c r="D169" s="36" t="s">
        <v>62</v>
      </c>
      <c r="E169" s="45" t="s">
        <v>136</v>
      </c>
      <c r="F169" s="5" t="s">
        <v>120</v>
      </c>
      <c r="G169" s="75">
        <v>0</v>
      </c>
      <c r="H169" s="30">
        <f t="shared" si="21"/>
        <v>0</v>
      </c>
      <c r="I169" s="82">
        <f t="shared" si="22"/>
        <v>0</v>
      </c>
      <c r="J169" s="82">
        <f t="shared" si="23"/>
        <v>0</v>
      </c>
      <c r="K169" s="30" t="str">
        <f t="shared" si="20"/>
        <v>MEJORA</v>
      </c>
    </row>
    <row r="170" spans="1:11" x14ac:dyDescent="0.25">
      <c r="A170" s="47" t="s">
        <v>153</v>
      </c>
      <c r="B170" s="47" t="s">
        <v>178</v>
      </c>
      <c r="C170" s="47">
        <v>45917</v>
      </c>
      <c r="D170" s="36" t="s">
        <v>62</v>
      </c>
      <c r="E170" s="45" t="s">
        <v>136</v>
      </c>
      <c r="F170" s="5" t="s">
        <v>121</v>
      </c>
      <c r="G170" s="75">
        <v>0</v>
      </c>
      <c r="H170" s="30">
        <f t="shared" si="21"/>
        <v>0</v>
      </c>
      <c r="I170" s="82">
        <f t="shared" si="22"/>
        <v>0</v>
      </c>
      <c r="J170" s="82">
        <f t="shared" si="23"/>
        <v>0</v>
      </c>
      <c r="K170" s="30" t="str">
        <f t="shared" si="20"/>
        <v>MEJORA</v>
      </c>
    </row>
    <row r="171" spans="1:11" x14ac:dyDescent="0.25">
      <c r="A171" s="47" t="s">
        <v>153</v>
      </c>
      <c r="B171" s="47" t="s">
        <v>178</v>
      </c>
      <c r="C171" s="47">
        <v>45917</v>
      </c>
      <c r="D171" s="36" t="s">
        <v>62</v>
      </c>
      <c r="E171" s="45" t="s">
        <v>136</v>
      </c>
      <c r="F171" s="5" t="s">
        <v>122</v>
      </c>
      <c r="G171" s="75">
        <v>0</v>
      </c>
      <c r="H171" s="30">
        <f t="shared" si="21"/>
        <v>0</v>
      </c>
      <c r="I171" s="82">
        <f t="shared" si="22"/>
        <v>0</v>
      </c>
      <c r="J171" s="82">
        <f t="shared" si="23"/>
        <v>0</v>
      </c>
      <c r="K171" s="30" t="str">
        <f t="shared" si="20"/>
        <v>MEJORA</v>
      </c>
    </row>
    <row r="172" spans="1:11" x14ac:dyDescent="0.25">
      <c r="A172" s="47" t="s">
        <v>153</v>
      </c>
      <c r="B172" s="47" t="s">
        <v>178</v>
      </c>
      <c r="C172" s="47">
        <v>45917</v>
      </c>
      <c r="D172" s="48" t="s">
        <v>150</v>
      </c>
      <c r="E172" s="46" t="s">
        <v>136</v>
      </c>
      <c r="F172" s="10" t="s">
        <v>123</v>
      </c>
      <c r="G172" s="75">
        <v>0</v>
      </c>
      <c r="H172" s="30">
        <f t="shared" si="21"/>
        <v>0</v>
      </c>
      <c r="I172" s="82">
        <f t="shared" si="22"/>
        <v>1.2937500000000002</v>
      </c>
      <c r="J172" s="82">
        <f t="shared" si="23"/>
        <v>5.6062500000000002</v>
      </c>
      <c r="K172" s="30" t="str">
        <f t="shared" si="20"/>
        <v>MEJORA</v>
      </c>
    </row>
    <row r="173" spans="1:11" x14ac:dyDescent="0.25">
      <c r="A173" s="47" t="s">
        <v>153</v>
      </c>
      <c r="B173" s="47" t="s">
        <v>178</v>
      </c>
      <c r="C173" s="47">
        <v>45917</v>
      </c>
      <c r="D173" s="48" t="s">
        <v>150</v>
      </c>
      <c r="E173" s="46" t="s">
        <v>136</v>
      </c>
      <c r="F173" s="10" t="s">
        <v>124</v>
      </c>
      <c r="G173" s="75">
        <v>0</v>
      </c>
      <c r="H173" s="30">
        <f t="shared" si="21"/>
        <v>0</v>
      </c>
      <c r="I173" s="82">
        <f t="shared" si="22"/>
        <v>0</v>
      </c>
      <c r="J173" s="82">
        <f t="shared" si="23"/>
        <v>0</v>
      </c>
      <c r="K173" s="30" t="str">
        <f t="shared" si="20"/>
        <v>MEJORA</v>
      </c>
    </row>
    <row r="174" spans="1:11" x14ac:dyDescent="0.25">
      <c r="A174" s="47" t="s">
        <v>153</v>
      </c>
      <c r="B174" s="47" t="s">
        <v>178</v>
      </c>
      <c r="C174" s="47">
        <v>45917</v>
      </c>
      <c r="D174" s="48" t="s">
        <v>150</v>
      </c>
      <c r="E174" s="46" t="s">
        <v>136</v>
      </c>
      <c r="F174" s="10" t="s">
        <v>125</v>
      </c>
      <c r="G174" s="75">
        <v>0</v>
      </c>
      <c r="H174" s="30">
        <f t="shared" si="21"/>
        <v>0</v>
      </c>
      <c r="I174" s="82">
        <f t="shared" si="22"/>
        <v>0</v>
      </c>
      <c r="J174" s="82">
        <f t="shared" si="23"/>
        <v>0</v>
      </c>
      <c r="K174" s="30" t="str">
        <f t="shared" si="20"/>
        <v>MEJORA</v>
      </c>
    </row>
    <row r="175" spans="1:11" x14ac:dyDescent="0.25">
      <c r="A175" s="47" t="s">
        <v>153</v>
      </c>
      <c r="B175" s="47" t="s">
        <v>178</v>
      </c>
      <c r="C175" s="47">
        <v>45917</v>
      </c>
      <c r="D175" s="48" t="s">
        <v>150</v>
      </c>
      <c r="E175" s="46" t="s">
        <v>136</v>
      </c>
      <c r="F175" s="10" t="s">
        <v>126</v>
      </c>
      <c r="G175" s="75">
        <v>0</v>
      </c>
      <c r="H175" s="30">
        <f t="shared" si="21"/>
        <v>0</v>
      </c>
      <c r="I175" s="82">
        <f t="shared" si="22"/>
        <v>0</v>
      </c>
      <c r="J175" s="82">
        <f t="shared" si="23"/>
        <v>0</v>
      </c>
      <c r="K175" s="30" t="str">
        <f t="shared" si="20"/>
        <v>MEJORA</v>
      </c>
    </row>
    <row r="176" spans="1:11" x14ac:dyDescent="0.25">
      <c r="A176" s="47" t="s">
        <v>153</v>
      </c>
      <c r="B176" s="47" t="s">
        <v>178</v>
      </c>
      <c r="C176" s="47">
        <v>45917</v>
      </c>
      <c r="D176" s="48" t="s">
        <v>150</v>
      </c>
      <c r="E176" s="46" t="s">
        <v>136</v>
      </c>
      <c r="F176" s="10" t="s">
        <v>127</v>
      </c>
      <c r="G176" s="75">
        <v>0</v>
      </c>
      <c r="H176" s="30">
        <f t="shared" si="21"/>
        <v>0</v>
      </c>
      <c r="I176" s="82">
        <f t="shared" si="22"/>
        <v>0</v>
      </c>
      <c r="J176" s="82">
        <f t="shared" si="23"/>
        <v>0</v>
      </c>
      <c r="K176" s="30" t="str">
        <f t="shared" si="20"/>
        <v>MEJORA</v>
      </c>
    </row>
    <row r="177" spans="1:12" x14ac:dyDescent="0.25">
      <c r="A177" s="47" t="s">
        <v>153</v>
      </c>
      <c r="B177" s="47" t="s">
        <v>178</v>
      </c>
      <c r="C177" s="47">
        <v>45917</v>
      </c>
      <c r="D177" s="48" t="s">
        <v>150</v>
      </c>
      <c r="E177" s="46" t="s">
        <v>136</v>
      </c>
      <c r="F177" s="10" t="s">
        <v>30</v>
      </c>
      <c r="G177" s="75">
        <v>0</v>
      </c>
      <c r="H177" s="30">
        <f t="shared" si="21"/>
        <v>0</v>
      </c>
      <c r="I177" s="82">
        <f t="shared" si="22"/>
        <v>0</v>
      </c>
      <c r="J177" s="82">
        <f t="shared" si="23"/>
        <v>0</v>
      </c>
      <c r="K177" s="30" t="str">
        <f t="shared" si="20"/>
        <v>MEJORA</v>
      </c>
    </row>
    <row r="178" spans="1:12" x14ac:dyDescent="0.25">
      <c r="A178" s="47" t="s">
        <v>153</v>
      </c>
      <c r="B178" s="47" t="s">
        <v>178</v>
      </c>
      <c r="C178" s="47">
        <v>45917</v>
      </c>
      <c r="D178" s="36" t="s">
        <v>149</v>
      </c>
      <c r="E178" s="45" t="s">
        <v>136</v>
      </c>
      <c r="F178" s="5" t="s">
        <v>128</v>
      </c>
      <c r="G178" s="75">
        <v>0</v>
      </c>
      <c r="H178" s="30">
        <f t="shared" si="21"/>
        <v>0</v>
      </c>
      <c r="I178" s="82">
        <f t="shared" si="22"/>
        <v>0</v>
      </c>
      <c r="J178" s="82">
        <f t="shared" si="23"/>
        <v>0</v>
      </c>
      <c r="K178" s="30" t="str">
        <f t="shared" si="20"/>
        <v>MEJORA</v>
      </c>
    </row>
    <row r="179" spans="1:12" x14ac:dyDescent="0.25">
      <c r="A179" s="47" t="s">
        <v>153</v>
      </c>
      <c r="B179" s="47" t="s">
        <v>178</v>
      </c>
      <c r="C179" s="47">
        <v>45917</v>
      </c>
      <c r="D179" s="36" t="s">
        <v>149</v>
      </c>
      <c r="E179" s="45" t="s">
        <v>136</v>
      </c>
      <c r="F179" s="5" t="s">
        <v>129</v>
      </c>
      <c r="G179" s="75">
        <v>0</v>
      </c>
      <c r="H179" s="30">
        <f t="shared" si="21"/>
        <v>0</v>
      </c>
      <c r="I179" s="82">
        <f t="shared" si="22"/>
        <v>0</v>
      </c>
      <c r="J179" s="82">
        <f t="shared" si="23"/>
        <v>0</v>
      </c>
      <c r="K179" s="30" t="str">
        <f t="shared" si="20"/>
        <v>MEJORA</v>
      </c>
    </row>
    <row r="180" spans="1:12" x14ac:dyDescent="0.25">
      <c r="A180" s="47" t="s">
        <v>153</v>
      </c>
      <c r="B180" s="47" t="s">
        <v>178</v>
      </c>
      <c r="C180" s="47">
        <v>45917</v>
      </c>
      <c r="D180" s="36" t="s">
        <v>149</v>
      </c>
      <c r="E180" s="45" t="s">
        <v>136</v>
      </c>
      <c r="F180" s="5" t="s">
        <v>31</v>
      </c>
      <c r="G180" s="75">
        <v>0</v>
      </c>
      <c r="H180" s="30">
        <f t="shared" si="21"/>
        <v>0</v>
      </c>
      <c r="I180" s="82">
        <f t="shared" si="22"/>
        <v>0</v>
      </c>
      <c r="J180" s="82">
        <f t="shared" si="23"/>
        <v>0</v>
      </c>
      <c r="K180" s="30" t="str">
        <f t="shared" si="20"/>
        <v>MEJORA</v>
      </c>
    </row>
    <row r="181" spans="1:12" x14ac:dyDescent="0.25">
      <c r="A181" s="39" t="s">
        <v>153</v>
      </c>
      <c r="B181" s="39" t="s">
        <v>178</v>
      </c>
      <c r="C181" s="41">
        <v>45917</v>
      </c>
      <c r="D181" s="42"/>
      <c r="E181" s="39" t="s">
        <v>136</v>
      </c>
      <c r="F181" s="42"/>
      <c r="G181" s="79">
        <f>SUBTOTAL(9,G152:G180)</f>
        <v>0</v>
      </c>
      <c r="H181" s="44">
        <f>SUM(H152:H180)</f>
        <v>0</v>
      </c>
      <c r="I181" s="83">
        <f>SUM(I152:I180)</f>
        <v>16.818750000000001</v>
      </c>
      <c r="J181" s="83">
        <f t="shared" si="23"/>
        <v>72.881250000000023</v>
      </c>
      <c r="K181" s="30" t="str">
        <f t="shared" si="20"/>
        <v>MEJORA</v>
      </c>
      <c r="L181" s="64"/>
    </row>
    <row r="182" spans="1:12" x14ac:dyDescent="0.25">
      <c r="A182" s="47" t="s">
        <v>153</v>
      </c>
      <c r="B182" s="47" t="s">
        <v>176</v>
      </c>
      <c r="C182" s="47">
        <v>45917</v>
      </c>
      <c r="D182" s="35" t="s">
        <v>148</v>
      </c>
      <c r="E182" s="38" t="s">
        <v>137</v>
      </c>
      <c r="F182" s="9" t="s">
        <v>108</v>
      </c>
      <c r="G182" s="75" cm="1">
        <f t="array" ref="G182:G210">TRANSPOSE(DIAGNÓSTICO!P45:AR45)</f>
        <v>0</v>
      </c>
      <c r="H182" s="30">
        <f>IFERROR((G182/$G$211),0)</f>
        <v>0</v>
      </c>
      <c r="I182" s="82">
        <f>I92</f>
        <v>0</v>
      </c>
      <c r="J182" s="82">
        <f>((G2)-(I92+I182))</f>
        <v>0</v>
      </c>
      <c r="K182" s="30" t="str">
        <f>IF(G182&lt;=J182,$N$1,IF(G182=G92,$M$1,IF(G182&gt;J182,$O$1,0)))</f>
        <v>MEJORA</v>
      </c>
    </row>
    <row r="183" spans="1:12" x14ac:dyDescent="0.25">
      <c r="A183" s="47" t="s">
        <v>153</v>
      </c>
      <c r="B183" s="47" t="s">
        <v>176</v>
      </c>
      <c r="C183" s="47">
        <v>45917</v>
      </c>
      <c r="D183" s="35" t="s">
        <v>148</v>
      </c>
      <c r="E183" s="38" t="s">
        <v>137</v>
      </c>
      <c r="F183" s="9" t="s">
        <v>109</v>
      </c>
      <c r="G183" s="75">
        <v>0</v>
      </c>
      <c r="H183" s="30">
        <f t="shared" ref="H183:H210" si="24">IFERROR((G183/$G$211),0)</f>
        <v>0</v>
      </c>
      <c r="I183" s="82">
        <f t="shared" ref="I183:I210" si="25">I93</f>
        <v>1.9406250000000003</v>
      </c>
      <c r="J183" s="82">
        <f t="shared" ref="J183:J210" si="26">((G3)-(I93+I183))</f>
        <v>6.4687500000000009</v>
      </c>
      <c r="K183" s="30" t="str">
        <f t="shared" ref="K183:K211" si="27">IF(G183&lt;=J183,$N$1,IF(G183=G93,$M$1,IF(G183&gt;J183,$O$1,0)))</f>
        <v>MEJORA</v>
      </c>
    </row>
    <row r="184" spans="1:12" x14ac:dyDescent="0.25">
      <c r="A184" s="47" t="s">
        <v>153</v>
      </c>
      <c r="B184" s="47" t="s">
        <v>176</v>
      </c>
      <c r="C184" s="47">
        <v>45917</v>
      </c>
      <c r="D184" s="35" t="s">
        <v>148</v>
      </c>
      <c r="E184" s="38" t="s">
        <v>137</v>
      </c>
      <c r="F184" s="9" t="s">
        <v>110</v>
      </c>
      <c r="G184" s="75">
        <v>0</v>
      </c>
      <c r="H184" s="30">
        <f t="shared" si="24"/>
        <v>0</v>
      </c>
      <c r="I184" s="82">
        <f t="shared" si="25"/>
        <v>0</v>
      </c>
      <c r="J184" s="82">
        <f t="shared" si="26"/>
        <v>0</v>
      </c>
      <c r="K184" s="30" t="str">
        <f t="shared" si="27"/>
        <v>MEJORA</v>
      </c>
    </row>
    <row r="185" spans="1:12" x14ac:dyDescent="0.25">
      <c r="A185" s="47" t="s">
        <v>153</v>
      </c>
      <c r="B185" s="47" t="s">
        <v>176</v>
      </c>
      <c r="C185" s="47">
        <v>45917</v>
      </c>
      <c r="D185" s="35" t="s">
        <v>148</v>
      </c>
      <c r="E185" s="38" t="s">
        <v>137</v>
      </c>
      <c r="F185" s="9" t="s">
        <v>111</v>
      </c>
      <c r="G185" s="75">
        <v>0</v>
      </c>
      <c r="H185" s="30">
        <f t="shared" si="24"/>
        <v>0</v>
      </c>
      <c r="I185" s="82">
        <f t="shared" si="25"/>
        <v>0</v>
      </c>
      <c r="J185" s="82">
        <f t="shared" si="26"/>
        <v>0</v>
      </c>
      <c r="K185" s="30" t="str">
        <f t="shared" si="27"/>
        <v>MEJORA</v>
      </c>
    </row>
    <row r="186" spans="1:12" x14ac:dyDescent="0.25">
      <c r="A186" s="47" t="s">
        <v>153</v>
      </c>
      <c r="B186" s="47" t="s">
        <v>176</v>
      </c>
      <c r="C186" s="47">
        <v>45917</v>
      </c>
      <c r="D186" s="35" t="s">
        <v>148</v>
      </c>
      <c r="E186" s="38" t="s">
        <v>137</v>
      </c>
      <c r="F186" s="9" t="s">
        <v>112</v>
      </c>
      <c r="G186" s="75">
        <v>0</v>
      </c>
      <c r="H186" s="30">
        <f t="shared" si="24"/>
        <v>0</v>
      </c>
      <c r="I186" s="82">
        <f t="shared" si="25"/>
        <v>2.5875000000000004</v>
      </c>
      <c r="J186" s="82">
        <f t="shared" si="26"/>
        <v>8.625</v>
      </c>
      <c r="K186" s="30" t="str">
        <f t="shared" si="27"/>
        <v>MEJORA</v>
      </c>
    </row>
    <row r="187" spans="1:12" x14ac:dyDescent="0.25">
      <c r="A187" s="47" t="s">
        <v>153</v>
      </c>
      <c r="B187" s="47" t="s">
        <v>176</v>
      </c>
      <c r="C187" s="47">
        <v>45917</v>
      </c>
      <c r="D187" s="35" t="s">
        <v>148</v>
      </c>
      <c r="E187" s="38" t="s">
        <v>137</v>
      </c>
      <c r="F187" s="9" t="s">
        <v>113</v>
      </c>
      <c r="G187" s="75">
        <v>0</v>
      </c>
      <c r="H187" s="30">
        <f t="shared" si="24"/>
        <v>0</v>
      </c>
      <c r="I187" s="82">
        <f t="shared" si="25"/>
        <v>2.5875000000000004</v>
      </c>
      <c r="J187" s="82">
        <f t="shared" si="26"/>
        <v>8.625</v>
      </c>
      <c r="K187" s="30" t="str">
        <f t="shared" si="27"/>
        <v>MEJORA</v>
      </c>
    </row>
    <row r="188" spans="1:12" x14ac:dyDescent="0.25">
      <c r="A188" s="47" t="s">
        <v>153</v>
      </c>
      <c r="B188" s="47" t="s">
        <v>176</v>
      </c>
      <c r="C188" s="47">
        <v>45917</v>
      </c>
      <c r="D188" s="35" t="s">
        <v>148</v>
      </c>
      <c r="E188" s="38" t="s">
        <v>137</v>
      </c>
      <c r="F188" s="9" t="s">
        <v>114</v>
      </c>
      <c r="G188" s="75">
        <v>0</v>
      </c>
      <c r="H188" s="30">
        <f t="shared" si="24"/>
        <v>0</v>
      </c>
      <c r="I188" s="82">
        <f t="shared" si="25"/>
        <v>3.234375</v>
      </c>
      <c r="J188" s="82">
        <f t="shared" si="26"/>
        <v>10.78125</v>
      </c>
      <c r="K188" s="30" t="str">
        <f t="shared" si="27"/>
        <v>MEJORA</v>
      </c>
    </row>
    <row r="189" spans="1:12" x14ac:dyDescent="0.25">
      <c r="A189" s="47" t="s">
        <v>153</v>
      </c>
      <c r="B189" s="47" t="s">
        <v>176</v>
      </c>
      <c r="C189" s="47">
        <v>45917</v>
      </c>
      <c r="D189" s="35" t="s">
        <v>148</v>
      </c>
      <c r="E189" s="38" t="s">
        <v>137</v>
      </c>
      <c r="F189" s="9" t="s">
        <v>115</v>
      </c>
      <c r="G189" s="75">
        <v>0</v>
      </c>
      <c r="H189" s="30">
        <f t="shared" si="24"/>
        <v>0</v>
      </c>
      <c r="I189" s="82">
        <f t="shared" si="25"/>
        <v>2.5875000000000004</v>
      </c>
      <c r="J189" s="82">
        <f t="shared" si="26"/>
        <v>8.625</v>
      </c>
      <c r="K189" s="30" t="str">
        <f t="shared" si="27"/>
        <v>MEJORA</v>
      </c>
    </row>
    <row r="190" spans="1:12" x14ac:dyDescent="0.25">
      <c r="A190" s="47" t="s">
        <v>153</v>
      </c>
      <c r="B190" s="47" t="s">
        <v>176</v>
      </c>
      <c r="C190" s="47">
        <v>45917</v>
      </c>
      <c r="D190" s="35" t="s">
        <v>148</v>
      </c>
      <c r="E190" s="38" t="s">
        <v>137</v>
      </c>
      <c r="F190" s="9" t="s">
        <v>116</v>
      </c>
      <c r="G190" s="75">
        <v>0</v>
      </c>
      <c r="H190" s="30">
        <f t="shared" si="24"/>
        <v>0</v>
      </c>
      <c r="I190" s="82">
        <f t="shared" si="25"/>
        <v>0.64687500000000009</v>
      </c>
      <c r="J190" s="82">
        <f t="shared" si="26"/>
        <v>2.15625</v>
      </c>
      <c r="K190" s="30" t="str">
        <f t="shared" si="27"/>
        <v>MEJORA</v>
      </c>
    </row>
    <row r="191" spans="1:12" x14ac:dyDescent="0.25">
      <c r="A191" s="47" t="s">
        <v>153</v>
      </c>
      <c r="B191" s="47" t="s">
        <v>176</v>
      </c>
      <c r="C191" s="47">
        <v>45917</v>
      </c>
      <c r="D191" s="35" t="s">
        <v>148</v>
      </c>
      <c r="E191" s="38" t="s">
        <v>137</v>
      </c>
      <c r="F191" s="9" t="s">
        <v>117</v>
      </c>
      <c r="G191" s="75">
        <v>0</v>
      </c>
      <c r="H191" s="30">
        <f t="shared" si="24"/>
        <v>0</v>
      </c>
      <c r="I191" s="82">
        <f t="shared" si="25"/>
        <v>1.9406250000000003</v>
      </c>
      <c r="J191" s="82">
        <f t="shared" si="26"/>
        <v>6.4687500000000009</v>
      </c>
      <c r="K191" s="30" t="str">
        <f t="shared" si="27"/>
        <v>MEJORA</v>
      </c>
    </row>
    <row r="192" spans="1:12" x14ac:dyDescent="0.25">
      <c r="A192" s="47" t="s">
        <v>153</v>
      </c>
      <c r="B192" s="47" t="s">
        <v>176</v>
      </c>
      <c r="C192" s="47">
        <v>45917</v>
      </c>
      <c r="D192" s="36" t="s">
        <v>62</v>
      </c>
      <c r="E192" s="45" t="s">
        <v>137</v>
      </c>
      <c r="F192" s="5" t="s">
        <v>118</v>
      </c>
      <c r="G192" s="75">
        <v>0</v>
      </c>
      <c r="H192" s="30">
        <f t="shared" si="24"/>
        <v>0</v>
      </c>
      <c r="I192" s="82">
        <f t="shared" si="25"/>
        <v>0.64687500000000009</v>
      </c>
      <c r="J192" s="82">
        <f t="shared" si="26"/>
        <v>2.15625</v>
      </c>
      <c r="K192" s="30" t="str">
        <f t="shared" si="27"/>
        <v>MEJORA</v>
      </c>
    </row>
    <row r="193" spans="1:11" x14ac:dyDescent="0.25">
      <c r="A193" s="47" t="s">
        <v>153</v>
      </c>
      <c r="B193" s="47" t="s">
        <v>176</v>
      </c>
      <c r="C193" s="47">
        <v>45917</v>
      </c>
      <c r="D193" s="36" t="s">
        <v>62</v>
      </c>
      <c r="E193" s="45" t="s">
        <v>137</v>
      </c>
      <c r="F193" s="5" t="s">
        <v>24</v>
      </c>
      <c r="G193" s="75">
        <v>0</v>
      </c>
      <c r="H193" s="30">
        <f t="shared" si="24"/>
        <v>0</v>
      </c>
      <c r="I193" s="82">
        <f t="shared" si="25"/>
        <v>0</v>
      </c>
      <c r="J193" s="82">
        <f t="shared" si="26"/>
        <v>0</v>
      </c>
      <c r="K193" s="30" t="str">
        <f t="shared" si="27"/>
        <v>MEJORA</v>
      </c>
    </row>
    <row r="194" spans="1:11" x14ac:dyDescent="0.25">
      <c r="A194" s="47" t="s">
        <v>153</v>
      </c>
      <c r="B194" s="47" t="s">
        <v>176</v>
      </c>
      <c r="C194" s="47">
        <v>45917</v>
      </c>
      <c r="D194" s="36" t="s">
        <v>62</v>
      </c>
      <c r="E194" s="45" t="s">
        <v>137</v>
      </c>
      <c r="F194" s="5" t="s">
        <v>25</v>
      </c>
      <c r="G194" s="75">
        <v>0</v>
      </c>
      <c r="H194" s="30">
        <f t="shared" si="24"/>
        <v>0</v>
      </c>
      <c r="I194" s="82">
        <f t="shared" si="25"/>
        <v>0</v>
      </c>
      <c r="J194" s="82">
        <f t="shared" si="26"/>
        <v>0</v>
      </c>
      <c r="K194" s="30" t="str">
        <f t="shared" si="27"/>
        <v>MEJORA</v>
      </c>
    </row>
    <row r="195" spans="1:11" x14ac:dyDescent="0.25">
      <c r="A195" s="47" t="s">
        <v>153</v>
      </c>
      <c r="B195" s="47" t="s">
        <v>176</v>
      </c>
      <c r="C195" s="47">
        <v>45917</v>
      </c>
      <c r="D195" s="36" t="s">
        <v>62</v>
      </c>
      <c r="E195" s="45" t="s">
        <v>137</v>
      </c>
      <c r="F195" s="5" t="s">
        <v>26</v>
      </c>
      <c r="G195" s="75">
        <v>0</v>
      </c>
      <c r="H195" s="30">
        <f t="shared" si="24"/>
        <v>0</v>
      </c>
      <c r="I195" s="82">
        <f t="shared" si="25"/>
        <v>0</v>
      </c>
      <c r="J195" s="82">
        <f t="shared" si="26"/>
        <v>0</v>
      </c>
      <c r="K195" s="30" t="str">
        <f t="shared" si="27"/>
        <v>MEJORA</v>
      </c>
    </row>
    <row r="196" spans="1:11" x14ac:dyDescent="0.25">
      <c r="A196" s="47" t="s">
        <v>153</v>
      </c>
      <c r="B196" s="47" t="s">
        <v>176</v>
      </c>
      <c r="C196" s="47">
        <v>45917</v>
      </c>
      <c r="D196" s="36" t="s">
        <v>62</v>
      </c>
      <c r="E196" s="45" t="s">
        <v>137</v>
      </c>
      <c r="F196" s="5" t="s">
        <v>27</v>
      </c>
      <c r="G196" s="75">
        <v>0</v>
      </c>
      <c r="H196" s="30">
        <f t="shared" si="24"/>
        <v>0</v>
      </c>
      <c r="I196" s="82">
        <f t="shared" si="25"/>
        <v>0</v>
      </c>
      <c r="J196" s="82">
        <f t="shared" si="26"/>
        <v>0</v>
      </c>
      <c r="K196" s="30" t="str">
        <f t="shared" si="27"/>
        <v>MEJORA</v>
      </c>
    </row>
    <row r="197" spans="1:11" x14ac:dyDescent="0.25">
      <c r="A197" s="47" t="s">
        <v>153</v>
      </c>
      <c r="B197" s="47" t="s">
        <v>176</v>
      </c>
      <c r="C197" s="47">
        <v>45917</v>
      </c>
      <c r="D197" s="36" t="s">
        <v>62</v>
      </c>
      <c r="E197" s="45" t="s">
        <v>137</v>
      </c>
      <c r="F197" s="5" t="s">
        <v>28</v>
      </c>
      <c r="G197" s="75">
        <v>0</v>
      </c>
      <c r="H197" s="30">
        <f t="shared" si="24"/>
        <v>0</v>
      </c>
      <c r="I197" s="82">
        <f t="shared" si="25"/>
        <v>0</v>
      </c>
      <c r="J197" s="82">
        <f t="shared" si="26"/>
        <v>0</v>
      </c>
      <c r="K197" s="30" t="str">
        <f t="shared" si="27"/>
        <v>MEJORA</v>
      </c>
    </row>
    <row r="198" spans="1:11" x14ac:dyDescent="0.25">
      <c r="A198" s="47" t="s">
        <v>153</v>
      </c>
      <c r="B198" s="47" t="s">
        <v>176</v>
      </c>
      <c r="C198" s="47">
        <v>45917</v>
      </c>
      <c r="D198" s="36" t="s">
        <v>62</v>
      </c>
      <c r="E198" s="45" t="s">
        <v>137</v>
      </c>
      <c r="F198" s="5" t="s">
        <v>119</v>
      </c>
      <c r="G198" s="75">
        <v>0</v>
      </c>
      <c r="H198" s="30">
        <f t="shared" si="24"/>
        <v>0</v>
      </c>
      <c r="I198" s="82">
        <f t="shared" si="25"/>
        <v>0</v>
      </c>
      <c r="J198" s="82">
        <f t="shared" si="26"/>
        <v>0</v>
      </c>
      <c r="K198" s="30" t="str">
        <f t="shared" si="27"/>
        <v>MEJORA</v>
      </c>
    </row>
    <row r="199" spans="1:11" x14ac:dyDescent="0.25">
      <c r="A199" s="47" t="s">
        <v>153</v>
      </c>
      <c r="B199" s="47" t="s">
        <v>176</v>
      </c>
      <c r="C199" s="47">
        <v>45917</v>
      </c>
      <c r="D199" s="36" t="s">
        <v>62</v>
      </c>
      <c r="E199" s="45" t="s">
        <v>137</v>
      </c>
      <c r="F199" s="5" t="s">
        <v>120</v>
      </c>
      <c r="G199" s="75">
        <v>0</v>
      </c>
      <c r="H199" s="30">
        <f t="shared" si="24"/>
        <v>0</v>
      </c>
      <c r="I199" s="82">
        <f t="shared" si="25"/>
        <v>0</v>
      </c>
      <c r="J199" s="82">
        <f t="shared" si="26"/>
        <v>0</v>
      </c>
      <c r="K199" s="30" t="str">
        <f t="shared" si="27"/>
        <v>MEJORA</v>
      </c>
    </row>
    <row r="200" spans="1:11" x14ac:dyDescent="0.25">
      <c r="A200" s="47" t="s">
        <v>153</v>
      </c>
      <c r="B200" s="47" t="s">
        <v>176</v>
      </c>
      <c r="C200" s="47">
        <v>45917</v>
      </c>
      <c r="D200" s="36" t="s">
        <v>62</v>
      </c>
      <c r="E200" s="45" t="s">
        <v>137</v>
      </c>
      <c r="F200" s="5" t="s">
        <v>121</v>
      </c>
      <c r="G200" s="75">
        <v>0</v>
      </c>
      <c r="H200" s="30">
        <f t="shared" si="24"/>
        <v>0</v>
      </c>
      <c r="I200" s="82">
        <f t="shared" si="25"/>
        <v>0</v>
      </c>
      <c r="J200" s="82">
        <f t="shared" si="26"/>
        <v>0</v>
      </c>
      <c r="K200" s="30" t="str">
        <f t="shared" si="27"/>
        <v>MEJORA</v>
      </c>
    </row>
    <row r="201" spans="1:11" x14ac:dyDescent="0.25">
      <c r="A201" s="47" t="s">
        <v>153</v>
      </c>
      <c r="B201" s="47" t="s">
        <v>176</v>
      </c>
      <c r="C201" s="47">
        <v>45917</v>
      </c>
      <c r="D201" s="36" t="s">
        <v>62</v>
      </c>
      <c r="E201" s="45" t="s">
        <v>137</v>
      </c>
      <c r="F201" s="5" t="s">
        <v>122</v>
      </c>
      <c r="G201" s="75">
        <v>0</v>
      </c>
      <c r="H201" s="30">
        <f t="shared" si="24"/>
        <v>0</v>
      </c>
      <c r="I201" s="82">
        <f t="shared" si="25"/>
        <v>0</v>
      </c>
      <c r="J201" s="82">
        <f t="shared" si="26"/>
        <v>0</v>
      </c>
      <c r="K201" s="30" t="str">
        <f t="shared" si="27"/>
        <v>MEJORA</v>
      </c>
    </row>
    <row r="202" spans="1:11" x14ac:dyDescent="0.25">
      <c r="A202" s="47" t="s">
        <v>153</v>
      </c>
      <c r="B202" s="47" t="s">
        <v>176</v>
      </c>
      <c r="C202" s="47">
        <v>45917</v>
      </c>
      <c r="D202" s="48" t="s">
        <v>150</v>
      </c>
      <c r="E202" s="46" t="s">
        <v>137</v>
      </c>
      <c r="F202" s="10" t="s">
        <v>123</v>
      </c>
      <c r="G202" s="75">
        <v>0</v>
      </c>
      <c r="H202" s="30">
        <f t="shared" si="24"/>
        <v>0</v>
      </c>
      <c r="I202" s="82">
        <f t="shared" si="25"/>
        <v>0</v>
      </c>
      <c r="J202" s="82">
        <f t="shared" si="26"/>
        <v>0</v>
      </c>
      <c r="K202" s="30" t="str">
        <f t="shared" si="27"/>
        <v>MEJORA</v>
      </c>
    </row>
    <row r="203" spans="1:11" x14ac:dyDescent="0.25">
      <c r="A203" s="47" t="s">
        <v>153</v>
      </c>
      <c r="B203" s="47" t="s">
        <v>176</v>
      </c>
      <c r="C203" s="47">
        <v>45917</v>
      </c>
      <c r="D203" s="48" t="s">
        <v>150</v>
      </c>
      <c r="E203" s="46" t="s">
        <v>137</v>
      </c>
      <c r="F203" s="10" t="s">
        <v>124</v>
      </c>
      <c r="G203" s="75">
        <v>0</v>
      </c>
      <c r="H203" s="30">
        <f t="shared" si="24"/>
        <v>0</v>
      </c>
      <c r="I203" s="82">
        <f t="shared" si="25"/>
        <v>0.64687500000000009</v>
      </c>
      <c r="J203" s="82">
        <f t="shared" si="26"/>
        <v>2.15625</v>
      </c>
      <c r="K203" s="30" t="str">
        <f t="shared" si="27"/>
        <v>MEJORA</v>
      </c>
    </row>
    <row r="204" spans="1:11" x14ac:dyDescent="0.25">
      <c r="A204" s="47" t="s">
        <v>153</v>
      </c>
      <c r="B204" s="47" t="s">
        <v>176</v>
      </c>
      <c r="C204" s="47">
        <v>45917</v>
      </c>
      <c r="D204" s="48" t="s">
        <v>150</v>
      </c>
      <c r="E204" s="46" t="s">
        <v>137</v>
      </c>
      <c r="F204" s="10" t="s">
        <v>125</v>
      </c>
      <c r="G204" s="75">
        <v>0</v>
      </c>
      <c r="H204" s="30">
        <f t="shared" si="24"/>
        <v>0</v>
      </c>
      <c r="I204" s="82">
        <f t="shared" si="25"/>
        <v>0</v>
      </c>
      <c r="J204" s="82">
        <f t="shared" si="26"/>
        <v>0</v>
      </c>
      <c r="K204" s="30" t="str">
        <f t="shared" si="27"/>
        <v>MEJORA</v>
      </c>
    </row>
    <row r="205" spans="1:11" x14ac:dyDescent="0.25">
      <c r="A205" s="47" t="s">
        <v>153</v>
      </c>
      <c r="B205" s="47" t="s">
        <v>176</v>
      </c>
      <c r="C205" s="47">
        <v>45917</v>
      </c>
      <c r="D205" s="48" t="s">
        <v>150</v>
      </c>
      <c r="E205" s="46" t="s">
        <v>137</v>
      </c>
      <c r="F205" s="10" t="s">
        <v>126</v>
      </c>
      <c r="G205" s="75">
        <v>0</v>
      </c>
      <c r="H205" s="30">
        <f t="shared" si="24"/>
        <v>0</v>
      </c>
      <c r="I205" s="82">
        <f t="shared" si="25"/>
        <v>0</v>
      </c>
      <c r="J205" s="82">
        <f t="shared" si="26"/>
        <v>0</v>
      </c>
      <c r="K205" s="30" t="str">
        <f t="shared" si="27"/>
        <v>MEJORA</v>
      </c>
    </row>
    <row r="206" spans="1:11" x14ac:dyDescent="0.25">
      <c r="A206" s="47" t="s">
        <v>153</v>
      </c>
      <c r="B206" s="47" t="s">
        <v>176</v>
      </c>
      <c r="C206" s="47">
        <v>45917</v>
      </c>
      <c r="D206" s="48" t="s">
        <v>150</v>
      </c>
      <c r="E206" s="46" t="s">
        <v>137</v>
      </c>
      <c r="F206" s="10" t="s">
        <v>127</v>
      </c>
      <c r="G206" s="75">
        <v>0</v>
      </c>
      <c r="H206" s="30">
        <f t="shared" si="24"/>
        <v>0</v>
      </c>
      <c r="I206" s="82">
        <f t="shared" si="25"/>
        <v>0</v>
      </c>
      <c r="J206" s="82">
        <f t="shared" si="26"/>
        <v>0</v>
      </c>
      <c r="K206" s="30" t="str">
        <f t="shared" si="27"/>
        <v>MEJORA</v>
      </c>
    </row>
    <row r="207" spans="1:11" x14ac:dyDescent="0.25">
      <c r="A207" s="47" t="s">
        <v>153</v>
      </c>
      <c r="B207" s="47" t="s">
        <v>176</v>
      </c>
      <c r="C207" s="47">
        <v>45917</v>
      </c>
      <c r="D207" s="48" t="s">
        <v>150</v>
      </c>
      <c r="E207" s="46" t="s">
        <v>137</v>
      </c>
      <c r="F207" s="10" t="s">
        <v>30</v>
      </c>
      <c r="G207" s="75">
        <v>0</v>
      </c>
      <c r="H207" s="30">
        <f t="shared" si="24"/>
        <v>0</v>
      </c>
      <c r="I207" s="82">
        <f t="shared" si="25"/>
        <v>0</v>
      </c>
      <c r="J207" s="82">
        <f t="shared" si="26"/>
        <v>0</v>
      </c>
      <c r="K207" s="30" t="str">
        <f t="shared" si="27"/>
        <v>MEJORA</v>
      </c>
    </row>
    <row r="208" spans="1:11" x14ac:dyDescent="0.25">
      <c r="A208" s="47" t="s">
        <v>153</v>
      </c>
      <c r="B208" s="47" t="s">
        <v>176</v>
      </c>
      <c r="C208" s="47">
        <v>45917</v>
      </c>
      <c r="D208" s="36" t="s">
        <v>149</v>
      </c>
      <c r="E208" s="45" t="s">
        <v>137</v>
      </c>
      <c r="F208" s="5" t="s">
        <v>128</v>
      </c>
      <c r="G208" s="75">
        <v>0</v>
      </c>
      <c r="H208" s="30">
        <f t="shared" si="24"/>
        <v>0</v>
      </c>
      <c r="I208" s="82">
        <f t="shared" si="25"/>
        <v>0</v>
      </c>
      <c r="J208" s="82">
        <f t="shared" si="26"/>
        <v>0</v>
      </c>
      <c r="K208" s="30" t="str">
        <f t="shared" si="27"/>
        <v>MEJORA</v>
      </c>
    </row>
    <row r="209" spans="1:11" x14ac:dyDescent="0.25">
      <c r="A209" s="47" t="s">
        <v>153</v>
      </c>
      <c r="B209" s="47" t="s">
        <v>176</v>
      </c>
      <c r="C209" s="47">
        <v>45917</v>
      </c>
      <c r="D209" s="36" t="s">
        <v>149</v>
      </c>
      <c r="E209" s="45" t="s">
        <v>137</v>
      </c>
      <c r="F209" s="5" t="s">
        <v>129</v>
      </c>
      <c r="G209" s="75">
        <v>0</v>
      </c>
      <c r="H209" s="30">
        <f t="shared" si="24"/>
        <v>0</v>
      </c>
      <c r="I209" s="82">
        <f t="shared" si="25"/>
        <v>0</v>
      </c>
      <c r="J209" s="82">
        <f t="shared" si="26"/>
        <v>0</v>
      </c>
      <c r="K209" s="30" t="str">
        <f t="shared" si="27"/>
        <v>MEJORA</v>
      </c>
    </row>
    <row r="210" spans="1:11" x14ac:dyDescent="0.25">
      <c r="A210" s="47" t="s">
        <v>153</v>
      </c>
      <c r="B210" s="47" t="s">
        <v>176</v>
      </c>
      <c r="C210" s="47">
        <v>45917</v>
      </c>
      <c r="D210" s="36" t="s">
        <v>149</v>
      </c>
      <c r="E210" s="45" t="s">
        <v>137</v>
      </c>
      <c r="F210" s="5" t="s">
        <v>31</v>
      </c>
      <c r="G210" s="75">
        <v>0</v>
      </c>
      <c r="H210" s="30">
        <f t="shared" si="24"/>
        <v>0</v>
      </c>
      <c r="I210" s="82">
        <f t="shared" si="25"/>
        <v>0.64687500000000009</v>
      </c>
      <c r="J210" s="82">
        <f t="shared" si="26"/>
        <v>2.15625</v>
      </c>
      <c r="K210" s="30" t="str">
        <f t="shared" si="27"/>
        <v>MEJORA</v>
      </c>
    </row>
    <row r="211" spans="1:11" x14ac:dyDescent="0.25">
      <c r="A211" s="39" t="s">
        <v>153</v>
      </c>
      <c r="B211" s="39" t="s">
        <v>176</v>
      </c>
      <c r="C211" s="41">
        <v>45917</v>
      </c>
      <c r="D211" s="42"/>
      <c r="E211" s="39" t="s">
        <v>137</v>
      </c>
      <c r="F211" s="42"/>
      <c r="G211" s="79">
        <f>SUM(G182:G210)</f>
        <v>0</v>
      </c>
      <c r="H211" s="44">
        <f>SUM(H182:H210)</f>
        <v>0</v>
      </c>
      <c r="I211" s="79">
        <f t="shared" ref="I211" si="28">SUM(I182:I210)</f>
        <v>17.465625000000006</v>
      </c>
      <c r="J211" s="79">
        <f>((G31)-(I121+I211))</f>
        <v>58.218750000000007</v>
      </c>
      <c r="K211" s="43" t="str">
        <f t="shared" si="27"/>
        <v>MEJORA</v>
      </c>
    </row>
    <row r="212" spans="1:11" x14ac:dyDescent="0.25">
      <c r="A212" s="47" t="s">
        <v>153</v>
      </c>
      <c r="B212" s="47" t="s">
        <v>177</v>
      </c>
      <c r="C212" s="47">
        <v>45917</v>
      </c>
      <c r="D212" s="35" t="s">
        <v>148</v>
      </c>
      <c r="E212" s="38" t="s">
        <v>137</v>
      </c>
      <c r="F212" s="9" t="s">
        <v>108</v>
      </c>
      <c r="G212" s="75" cm="1">
        <f t="array" ref="G212:G240">TRANSPOSE(DIAGNÓSTICO!P51:AR51)</f>
        <v>0</v>
      </c>
      <c r="H212" s="30">
        <f>IFERROR((G212/$G$241),0)</f>
        <v>0</v>
      </c>
      <c r="I212" s="82">
        <f>I122</f>
        <v>1.2937500000000002</v>
      </c>
      <c r="J212" s="82">
        <f>((G32)-(I122+I212))</f>
        <v>4.3125</v>
      </c>
      <c r="K212" s="30" t="str">
        <f>IF(G212&lt;=J212,$N$1,IF(G212=G182,$M$1,IF(G212&gt;G182,$O$1,0)))</f>
        <v>MEJORA</v>
      </c>
    </row>
    <row r="213" spans="1:11" x14ac:dyDescent="0.25">
      <c r="A213" s="47" t="s">
        <v>153</v>
      </c>
      <c r="B213" s="47" t="s">
        <v>177</v>
      </c>
      <c r="C213" s="47">
        <v>45917</v>
      </c>
      <c r="D213" s="35" t="s">
        <v>148</v>
      </c>
      <c r="E213" s="38" t="s">
        <v>137</v>
      </c>
      <c r="F213" s="9" t="s">
        <v>109</v>
      </c>
      <c r="G213" s="75">
        <v>0</v>
      </c>
      <c r="H213" s="30">
        <f t="shared" ref="H213:H240" si="29">IFERROR((G213/$G$241),0)</f>
        <v>0</v>
      </c>
      <c r="I213" s="82">
        <f t="shared" ref="I213:I240" si="30">I123</f>
        <v>1.9406250000000003</v>
      </c>
      <c r="J213" s="82">
        <f t="shared" ref="J213:J241" si="31">((G33)-(I123+I213))</f>
        <v>6.4687500000000009</v>
      </c>
      <c r="K213" s="30" t="str">
        <f t="shared" ref="K213:K271" si="32">IF(G213&lt;=J213,$N$1,IF(G213=G183,$M$1,IF(G213&gt;G183,$O$1,0)))</f>
        <v>MEJORA</v>
      </c>
    </row>
    <row r="214" spans="1:11" x14ac:dyDescent="0.25">
      <c r="A214" s="47" t="s">
        <v>153</v>
      </c>
      <c r="B214" s="47" t="s">
        <v>177</v>
      </c>
      <c r="C214" s="47">
        <v>45917</v>
      </c>
      <c r="D214" s="35" t="s">
        <v>148</v>
      </c>
      <c r="E214" s="38" t="s">
        <v>137</v>
      </c>
      <c r="F214" s="9" t="s">
        <v>110</v>
      </c>
      <c r="G214" s="75">
        <v>0</v>
      </c>
      <c r="H214" s="30">
        <f t="shared" si="29"/>
        <v>0</v>
      </c>
      <c r="I214" s="82">
        <f t="shared" si="30"/>
        <v>0.64687500000000009</v>
      </c>
      <c r="J214" s="82">
        <f t="shared" si="31"/>
        <v>2.15625</v>
      </c>
      <c r="K214" s="30" t="str">
        <f t="shared" si="32"/>
        <v>MEJORA</v>
      </c>
    </row>
    <row r="215" spans="1:11" x14ac:dyDescent="0.25">
      <c r="A215" s="47" t="s">
        <v>153</v>
      </c>
      <c r="B215" s="47" t="s">
        <v>177</v>
      </c>
      <c r="C215" s="47">
        <v>45917</v>
      </c>
      <c r="D215" s="35" t="s">
        <v>148</v>
      </c>
      <c r="E215" s="38" t="s">
        <v>137</v>
      </c>
      <c r="F215" s="9" t="s">
        <v>111</v>
      </c>
      <c r="G215" s="75">
        <v>0</v>
      </c>
      <c r="H215" s="30">
        <f t="shared" si="29"/>
        <v>0</v>
      </c>
      <c r="I215" s="82">
        <f t="shared" si="30"/>
        <v>1.2937500000000002</v>
      </c>
      <c r="J215" s="82">
        <f t="shared" si="31"/>
        <v>4.3125</v>
      </c>
      <c r="K215" s="30" t="str">
        <f t="shared" si="32"/>
        <v>MEJORA</v>
      </c>
    </row>
    <row r="216" spans="1:11" x14ac:dyDescent="0.25">
      <c r="A216" s="47" t="s">
        <v>153</v>
      </c>
      <c r="B216" s="47" t="s">
        <v>177</v>
      </c>
      <c r="C216" s="47">
        <v>45917</v>
      </c>
      <c r="D216" s="35" t="s">
        <v>148</v>
      </c>
      <c r="E216" s="38" t="s">
        <v>137</v>
      </c>
      <c r="F216" s="9" t="s">
        <v>112</v>
      </c>
      <c r="G216" s="75">
        <v>0</v>
      </c>
      <c r="H216" s="30">
        <f t="shared" si="29"/>
        <v>0</v>
      </c>
      <c r="I216" s="82">
        <f t="shared" si="30"/>
        <v>0.64687500000000009</v>
      </c>
      <c r="J216" s="82">
        <f t="shared" si="31"/>
        <v>2.15625</v>
      </c>
      <c r="K216" s="30" t="str">
        <f t="shared" si="32"/>
        <v>MEJORA</v>
      </c>
    </row>
    <row r="217" spans="1:11" x14ac:dyDescent="0.25">
      <c r="A217" s="47" t="s">
        <v>153</v>
      </c>
      <c r="B217" s="47" t="s">
        <v>177</v>
      </c>
      <c r="C217" s="47">
        <v>45917</v>
      </c>
      <c r="D217" s="35" t="s">
        <v>148</v>
      </c>
      <c r="E217" s="38" t="s">
        <v>137</v>
      </c>
      <c r="F217" s="9" t="s">
        <v>113</v>
      </c>
      <c r="G217" s="75">
        <v>0</v>
      </c>
      <c r="H217" s="30">
        <f t="shared" si="29"/>
        <v>0</v>
      </c>
      <c r="I217" s="82">
        <f t="shared" si="30"/>
        <v>1.2937500000000002</v>
      </c>
      <c r="J217" s="82">
        <f t="shared" si="31"/>
        <v>4.3125</v>
      </c>
      <c r="K217" s="30" t="str">
        <f t="shared" si="32"/>
        <v>MEJORA</v>
      </c>
    </row>
    <row r="218" spans="1:11" x14ac:dyDescent="0.25">
      <c r="A218" s="47" t="s">
        <v>153</v>
      </c>
      <c r="B218" s="47" t="s">
        <v>177</v>
      </c>
      <c r="C218" s="47">
        <v>45917</v>
      </c>
      <c r="D218" s="35" t="s">
        <v>148</v>
      </c>
      <c r="E218" s="38" t="s">
        <v>137</v>
      </c>
      <c r="F218" s="9" t="s">
        <v>114</v>
      </c>
      <c r="G218" s="75">
        <v>0</v>
      </c>
      <c r="H218" s="30">
        <f t="shared" si="29"/>
        <v>0</v>
      </c>
      <c r="I218" s="82">
        <f t="shared" si="30"/>
        <v>1.2937500000000002</v>
      </c>
      <c r="J218" s="82">
        <f t="shared" si="31"/>
        <v>4.3125</v>
      </c>
      <c r="K218" s="30" t="str">
        <f t="shared" si="32"/>
        <v>MEJORA</v>
      </c>
    </row>
    <row r="219" spans="1:11" x14ac:dyDescent="0.25">
      <c r="A219" s="47" t="s">
        <v>153</v>
      </c>
      <c r="B219" s="47" t="s">
        <v>177</v>
      </c>
      <c r="C219" s="47">
        <v>45917</v>
      </c>
      <c r="D219" s="35" t="s">
        <v>148</v>
      </c>
      <c r="E219" s="38" t="s">
        <v>137</v>
      </c>
      <c r="F219" s="9" t="s">
        <v>115</v>
      </c>
      <c r="G219" s="75">
        <v>0</v>
      </c>
      <c r="H219" s="30">
        <f t="shared" si="29"/>
        <v>0</v>
      </c>
      <c r="I219" s="82">
        <f t="shared" si="30"/>
        <v>0.64687500000000009</v>
      </c>
      <c r="J219" s="82">
        <f t="shared" si="31"/>
        <v>2.15625</v>
      </c>
      <c r="K219" s="30" t="str">
        <f t="shared" si="32"/>
        <v>MEJORA</v>
      </c>
    </row>
    <row r="220" spans="1:11" x14ac:dyDescent="0.25">
      <c r="A220" s="47" t="s">
        <v>153</v>
      </c>
      <c r="B220" s="47" t="s">
        <v>177</v>
      </c>
      <c r="C220" s="47">
        <v>45917</v>
      </c>
      <c r="D220" s="35" t="s">
        <v>148</v>
      </c>
      <c r="E220" s="38" t="s">
        <v>137</v>
      </c>
      <c r="F220" s="9" t="s">
        <v>116</v>
      </c>
      <c r="G220" s="75">
        <v>0</v>
      </c>
      <c r="H220" s="30">
        <f t="shared" si="29"/>
        <v>0</v>
      </c>
      <c r="I220" s="82">
        <f t="shared" si="30"/>
        <v>0.64687500000000009</v>
      </c>
      <c r="J220" s="82">
        <f t="shared" si="31"/>
        <v>2.15625</v>
      </c>
      <c r="K220" s="30" t="str">
        <f t="shared" si="32"/>
        <v>MEJORA</v>
      </c>
    </row>
    <row r="221" spans="1:11" x14ac:dyDescent="0.25">
      <c r="A221" s="47" t="s">
        <v>153</v>
      </c>
      <c r="B221" s="47" t="s">
        <v>177</v>
      </c>
      <c r="C221" s="47">
        <v>45917</v>
      </c>
      <c r="D221" s="35" t="s">
        <v>148</v>
      </c>
      <c r="E221" s="38" t="s">
        <v>137</v>
      </c>
      <c r="F221" s="9" t="s">
        <v>117</v>
      </c>
      <c r="G221" s="75">
        <v>0</v>
      </c>
      <c r="H221" s="30">
        <f t="shared" si="29"/>
        <v>0</v>
      </c>
      <c r="I221" s="82">
        <f t="shared" si="30"/>
        <v>0.64687500000000009</v>
      </c>
      <c r="J221" s="82">
        <f t="shared" si="31"/>
        <v>2.15625</v>
      </c>
      <c r="K221" s="30" t="str">
        <f t="shared" si="32"/>
        <v>MEJORA</v>
      </c>
    </row>
    <row r="222" spans="1:11" x14ac:dyDescent="0.25">
      <c r="A222" s="47" t="s">
        <v>153</v>
      </c>
      <c r="B222" s="47" t="s">
        <v>177</v>
      </c>
      <c r="C222" s="47">
        <v>45917</v>
      </c>
      <c r="D222" s="36" t="s">
        <v>62</v>
      </c>
      <c r="E222" s="45" t="s">
        <v>137</v>
      </c>
      <c r="F222" s="5" t="s">
        <v>118</v>
      </c>
      <c r="G222" s="75">
        <v>0</v>
      </c>
      <c r="H222" s="30">
        <f t="shared" si="29"/>
        <v>0</v>
      </c>
      <c r="I222" s="82">
        <f t="shared" si="30"/>
        <v>0</v>
      </c>
      <c r="J222" s="82">
        <f t="shared" si="31"/>
        <v>0</v>
      </c>
      <c r="K222" s="30" t="str">
        <f t="shared" si="32"/>
        <v>MEJORA</v>
      </c>
    </row>
    <row r="223" spans="1:11" x14ac:dyDescent="0.25">
      <c r="A223" s="47" t="s">
        <v>153</v>
      </c>
      <c r="B223" s="47" t="s">
        <v>177</v>
      </c>
      <c r="C223" s="47">
        <v>45917</v>
      </c>
      <c r="D223" s="36" t="s">
        <v>62</v>
      </c>
      <c r="E223" s="45" t="s">
        <v>137</v>
      </c>
      <c r="F223" s="5" t="s">
        <v>24</v>
      </c>
      <c r="G223" s="75">
        <v>0</v>
      </c>
      <c r="H223" s="30">
        <f t="shared" si="29"/>
        <v>0</v>
      </c>
      <c r="I223" s="82">
        <f t="shared" si="30"/>
        <v>0</v>
      </c>
      <c r="J223" s="82">
        <f t="shared" si="31"/>
        <v>0</v>
      </c>
      <c r="K223" s="30" t="str">
        <f t="shared" si="32"/>
        <v>MEJORA</v>
      </c>
    </row>
    <row r="224" spans="1:11" x14ac:dyDescent="0.25">
      <c r="A224" s="47" t="s">
        <v>153</v>
      </c>
      <c r="B224" s="47" t="s">
        <v>177</v>
      </c>
      <c r="C224" s="47">
        <v>45917</v>
      </c>
      <c r="D224" s="36" t="s">
        <v>62</v>
      </c>
      <c r="E224" s="45" t="s">
        <v>137</v>
      </c>
      <c r="F224" s="5" t="s">
        <v>25</v>
      </c>
      <c r="G224" s="75">
        <v>0</v>
      </c>
      <c r="H224" s="30">
        <f t="shared" si="29"/>
        <v>0</v>
      </c>
      <c r="I224" s="82">
        <f t="shared" si="30"/>
        <v>0</v>
      </c>
      <c r="J224" s="82">
        <f t="shared" si="31"/>
        <v>0</v>
      </c>
      <c r="K224" s="30" t="str">
        <f t="shared" si="32"/>
        <v>MEJORA</v>
      </c>
    </row>
    <row r="225" spans="1:11" x14ac:dyDescent="0.25">
      <c r="A225" s="47" t="s">
        <v>153</v>
      </c>
      <c r="B225" s="47" t="s">
        <v>177</v>
      </c>
      <c r="C225" s="47">
        <v>45917</v>
      </c>
      <c r="D225" s="36" t="s">
        <v>62</v>
      </c>
      <c r="E225" s="45" t="s">
        <v>137</v>
      </c>
      <c r="F225" s="5" t="s">
        <v>26</v>
      </c>
      <c r="G225" s="75">
        <v>0</v>
      </c>
      <c r="H225" s="30">
        <f t="shared" si="29"/>
        <v>0</v>
      </c>
      <c r="I225" s="82">
        <f t="shared" si="30"/>
        <v>0</v>
      </c>
      <c r="J225" s="82">
        <f t="shared" si="31"/>
        <v>0</v>
      </c>
      <c r="K225" s="30" t="str">
        <f t="shared" si="32"/>
        <v>MEJORA</v>
      </c>
    </row>
    <row r="226" spans="1:11" x14ac:dyDescent="0.25">
      <c r="A226" s="47" t="s">
        <v>153</v>
      </c>
      <c r="B226" s="47" t="s">
        <v>177</v>
      </c>
      <c r="C226" s="47">
        <v>45917</v>
      </c>
      <c r="D226" s="36" t="s">
        <v>62</v>
      </c>
      <c r="E226" s="45" t="s">
        <v>137</v>
      </c>
      <c r="F226" s="5" t="s">
        <v>27</v>
      </c>
      <c r="G226" s="75">
        <v>0</v>
      </c>
      <c r="H226" s="30">
        <f t="shared" si="29"/>
        <v>0</v>
      </c>
      <c r="I226" s="82">
        <f t="shared" si="30"/>
        <v>0</v>
      </c>
      <c r="J226" s="82">
        <f t="shared" si="31"/>
        <v>0</v>
      </c>
      <c r="K226" s="30" t="str">
        <f t="shared" si="32"/>
        <v>MEJORA</v>
      </c>
    </row>
    <row r="227" spans="1:11" x14ac:dyDescent="0.25">
      <c r="A227" s="47" t="s">
        <v>153</v>
      </c>
      <c r="B227" s="47" t="s">
        <v>177</v>
      </c>
      <c r="C227" s="47">
        <v>45917</v>
      </c>
      <c r="D227" s="36" t="s">
        <v>62</v>
      </c>
      <c r="E227" s="45" t="s">
        <v>137</v>
      </c>
      <c r="F227" s="5" t="s">
        <v>28</v>
      </c>
      <c r="G227" s="75">
        <v>0</v>
      </c>
      <c r="H227" s="30">
        <f t="shared" si="29"/>
        <v>0</v>
      </c>
      <c r="I227" s="82">
        <f t="shared" si="30"/>
        <v>0.64687500000000009</v>
      </c>
      <c r="J227" s="82">
        <f t="shared" si="31"/>
        <v>2.15625</v>
      </c>
      <c r="K227" s="30" t="str">
        <f t="shared" si="32"/>
        <v>MEJORA</v>
      </c>
    </row>
    <row r="228" spans="1:11" x14ac:dyDescent="0.25">
      <c r="A228" s="47" t="s">
        <v>153</v>
      </c>
      <c r="B228" s="47" t="s">
        <v>177</v>
      </c>
      <c r="C228" s="47">
        <v>45917</v>
      </c>
      <c r="D228" s="36" t="s">
        <v>62</v>
      </c>
      <c r="E228" s="45" t="s">
        <v>137</v>
      </c>
      <c r="F228" s="5" t="s">
        <v>119</v>
      </c>
      <c r="G228" s="75">
        <v>0</v>
      </c>
      <c r="H228" s="30">
        <f t="shared" si="29"/>
        <v>0</v>
      </c>
      <c r="I228" s="82">
        <f t="shared" si="30"/>
        <v>0</v>
      </c>
      <c r="J228" s="82">
        <f t="shared" si="31"/>
        <v>0</v>
      </c>
      <c r="K228" s="30" t="str">
        <f t="shared" si="32"/>
        <v>MEJORA</v>
      </c>
    </row>
    <row r="229" spans="1:11" x14ac:dyDescent="0.25">
      <c r="A229" s="47" t="s">
        <v>153</v>
      </c>
      <c r="B229" s="47" t="s">
        <v>177</v>
      </c>
      <c r="C229" s="47">
        <v>45917</v>
      </c>
      <c r="D229" s="36" t="s">
        <v>62</v>
      </c>
      <c r="E229" s="45" t="s">
        <v>137</v>
      </c>
      <c r="F229" s="5" t="s">
        <v>120</v>
      </c>
      <c r="G229" s="75">
        <v>0</v>
      </c>
      <c r="H229" s="30">
        <f t="shared" si="29"/>
        <v>0</v>
      </c>
      <c r="I229" s="82">
        <f t="shared" si="30"/>
        <v>0</v>
      </c>
      <c r="J229" s="82">
        <f t="shared" si="31"/>
        <v>0</v>
      </c>
      <c r="K229" s="30" t="str">
        <f t="shared" si="32"/>
        <v>MEJORA</v>
      </c>
    </row>
    <row r="230" spans="1:11" x14ac:dyDescent="0.25">
      <c r="A230" s="47" t="s">
        <v>153</v>
      </c>
      <c r="B230" s="47" t="s">
        <v>177</v>
      </c>
      <c r="C230" s="47">
        <v>45917</v>
      </c>
      <c r="D230" s="36" t="s">
        <v>62</v>
      </c>
      <c r="E230" s="45" t="s">
        <v>137</v>
      </c>
      <c r="F230" s="5" t="s">
        <v>121</v>
      </c>
      <c r="G230" s="75">
        <v>0</v>
      </c>
      <c r="H230" s="30">
        <f t="shared" si="29"/>
        <v>0</v>
      </c>
      <c r="I230" s="82">
        <f t="shared" si="30"/>
        <v>0</v>
      </c>
      <c r="J230" s="82">
        <f t="shared" si="31"/>
        <v>0</v>
      </c>
      <c r="K230" s="30" t="str">
        <f t="shared" si="32"/>
        <v>MEJORA</v>
      </c>
    </row>
    <row r="231" spans="1:11" x14ac:dyDescent="0.25">
      <c r="A231" s="47" t="s">
        <v>153</v>
      </c>
      <c r="B231" s="47" t="s">
        <v>177</v>
      </c>
      <c r="C231" s="47">
        <v>45917</v>
      </c>
      <c r="D231" s="36" t="s">
        <v>62</v>
      </c>
      <c r="E231" s="45" t="s">
        <v>137</v>
      </c>
      <c r="F231" s="5" t="s">
        <v>122</v>
      </c>
      <c r="G231" s="75">
        <v>0</v>
      </c>
      <c r="H231" s="30">
        <f t="shared" si="29"/>
        <v>0</v>
      </c>
      <c r="I231" s="82">
        <f t="shared" si="30"/>
        <v>0</v>
      </c>
      <c r="J231" s="82">
        <f t="shared" si="31"/>
        <v>0</v>
      </c>
      <c r="K231" s="30" t="str">
        <f t="shared" si="32"/>
        <v>MEJORA</v>
      </c>
    </row>
    <row r="232" spans="1:11" x14ac:dyDescent="0.25">
      <c r="A232" s="47" t="s">
        <v>153</v>
      </c>
      <c r="B232" s="47" t="s">
        <v>177</v>
      </c>
      <c r="C232" s="47">
        <v>45917</v>
      </c>
      <c r="D232" s="48" t="s">
        <v>150</v>
      </c>
      <c r="E232" s="46" t="s">
        <v>137</v>
      </c>
      <c r="F232" s="10" t="s">
        <v>123</v>
      </c>
      <c r="G232" s="75">
        <v>0</v>
      </c>
      <c r="H232" s="30">
        <f t="shared" si="29"/>
        <v>0</v>
      </c>
      <c r="I232" s="82">
        <f t="shared" si="30"/>
        <v>1.2937500000000002</v>
      </c>
      <c r="J232" s="82">
        <f t="shared" si="31"/>
        <v>4.3125</v>
      </c>
      <c r="K232" s="30" t="str">
        <f t="shared" si="32"/>
        <v>MEJORA</v>
      </c>
    </row>
    <row r="233" spans="1:11" x14ac:dyDescent="0.25">
      <c r="A233" s="47" t="s">
        <v>153</v>
      </c>
      <c r="B233" s="47" t="s">
        <v>177</v>
      </c>
      <c r="C233" s="47">
        <v>45917</v>
      </c>
      <c r="D233" s="48" t="s">
        <v>150</v>
      </c>
      <c r="E233" s="46" t="s">
        <v>137</v>
      </c>
      <c r="F233" s="10" t="s">
        <v>124</v>
      </c>
      <c r="G233" s="75">
        <v>0</v>
      </c>
      <c r="H233" s="30">
        <f t="shared" si="29"/>
        <v>0</v>
      </c>
      <c r="I233" s="82">
        <f t="shared" si="30"/>
        <v>0</v>
      </c>
      <c r="J233" s="82">
        <f t="shared" si="31"/>
        <v>0</v>
      </c>
      <c r="K233" s="30" t="str">
        <f t="shared" si="32"/>
        <v>MEJORA</v>
      </c>
    </row>
    <row r="234" spans="1:11" x14ac:dyDescent="0.25">
      <c r="A234" s="47" t="s">
        <v>153</v>
      </c>
      <c r="B234" s="47" t="s">
        <v>177</v>
      </c>
      <c r="C234" s="47">
        <v>45917</v>
      </c>
      <c r="D234" s="48" t="s">
        <v>150</v>
      </c>
      <c r="E234" s="46" t="s">
        <v>137</v>
      </c>
      <c r="F234" s="10" t="s">
        <v>125</v>
      </c>
      <c r="G234" s="75">
        <v>0</v>
      </c>
      <c r="H234" s="30">
        <f t="shared" si="29"/>
        <v>0</v>
      </c>
      <c r="I234" s="82">
        <f t="shared" si="30"/>
        <v>0</v>
      </c>
      <c r="J234" s="82">
        <f t="shared" si="31"/>
        <v>0</v>
      </c>
      <c r="K234" s="30" t="str">
        <f t="shared" si="32"/>
        <v>MEJORA</v>
      </c>
    </row>
    <row r="235" spans="1:11" x14ac:dyDescent="0.25">
      <c r="A235" s="47" t="s">
        <v>153</v>
      </c>
      <c r="B235" s="47" t="s">
        <v>177</v>
      </c>
      <c r="C235" s="47">
        <v>45917</v>
      </c>
      <c r="D235" s="48" t="s">
        <v>150</v>
      </c>
      <c r="E235" s="46" t="s">
        <v>137</v>
      </c>
      <c r="F235" s="10" t="s">
        <v>126</v>
      </c>
      <c r="G235" s="75">
        <v>0</v>
      </c>
      <c r="H235" s="30">
        <f t="shared" si="29"/>
        <v>0</v>
      </c>
      <c r="I235" s="82">
        <f t="shared" si="30"/>
        <v>0</v>
      </c>
      <c r="J235" s="82">
        <f t="shared" si="31"/>
        <v>0</v>
      </c>
      <c r="K235" s="30" t="str">
        <f t="shared" si="32"/>
        <v>MEJORA</v>
      </c>
    </row>
    <row r="236" spans="1:11" x14ac:dyDescent="0.25">
      <c r="A236" s="47" t="s">
        <v>153</v>
      </c>
      <c r="B236" s="47" t="s">
        <v>177</v>
      </c>
      <c r="C236" s="47">
        <v>45917</v>
      </c>
      <c r="D236" s="48" t="s">
        <v>150</v>
      </c>
      <c r="E236" s="46" t="s">
        <v>137</v>
      </c>
      <c r="F236" s="10" t="s">
        <v>127</v>
      </c>
      <c r="G236" s="75">
        <v>0</v>
      </c>
      <c r="H236" s="30">
        <f t="shared" si="29"/>
        <v>0</v>
      </c>
      <c r="I236" s="82">
        <f t="shared" si="30"/>
        <v>0</v>
      </c>
      <c r="J236" s="82">
        <f t="shared" si="31"/>
        <v>0</v>
      </c>
      <c r="K236" s="30" t="str">
        <f t="shared" si="32"/>
        <v>MEJORA</v>
      </c>
    </row>
    <row r="237" spans="1:11" x14ac:dyDescent="0.25">
      <c r="A237" s="47" t="s">
        <v>153</v>
      </c>
      <c r="B237" s="47" t="s">
        <v>177</v>
      </c>
      <c r="C237" s="47">
        <v>45917</v>
      </c>
      <c r="D237" s="48" t="s">
        <v>150</v>
      </c>
      <c r="E237" s="46" t="s">
        <v>137</v>
      </c>
      <c r="F237" s="10" t="s">
        <v>30</v>
      </c>
      <c r="G237" s="75">
        <v>0</v>
      </c>
      <c r="H237" s="30">
        <f t="shared" si="29"/>
        <v>0</v>
      </c>
      <c r="I237" s="82">
        <f t="shared" si="30"/>
        <v>0</v>
      </c>
      <c r="J237" s="82">
        <f t="shared" si="31"/>
        <v>0</v>
      </c>
      <c r="K237" s="30" t="str">
        <f t="shared" si="32"/>
        <v>MEJORA</v>
      </c>
    </row>
    <row r="238" spans="1:11" x14ac:dyDescent="0.25">
      <c r="A238" s="47" t="s">
        <v>153</v>
      </c>
      <c r="B238" s="47" t="s">
        <v>177</v>
      </c>
      <c r="C238" s="47">
        <v>45917</v>
      </c>
      <c r="D238" s="36" t="s">
        <v>149</v>
      </c>
      <c r="E238" s="45" t="s">
        <v>137</v>
      </c>
      <c r="F238" s="5" t="s">
        <v>128</v>
      </c>
      <c r="G238" s="75">
        <v>0</v>
      </c>
      <c r="H238" s="30">
        <f t="shared" si="29"/>
        <v>0</v>
      </c>
      <c r="I238" s="82">
        <f t="shared" si="30"/>
        <v>0</v>
      </c>
      <c r="J238" s="82">
        <f t="shared" si="31"/>
        <v>0</v>
      </c>
      <c r="K238" s="30" t="str">
        <f t="shared" si="32"/>
        <v>MEJORA</v>
      </c>
    </row>
    <row r="239" spans="1:11" x14ac:dyDescent="0.25">
      <c r="A239" s="47" t="s">
        <v>153</v>
      </c>
      <c r="B239" s="47" t="s">
        <v>177</v>
      </c>
      <c r="C239" s="47">
        <v>45917</v>
      </c>
      <c r="D239" s="36" t="s">
        <v>149</v>
      </c>
      <c r="E239" s="45" t="s">
        <v>137</v>
      </c>
      <c r="F239" s="5" t="s">
        <v>129</v>
      </c>
      <c r="G239" s="75">
        <v>0</v>
      </c>
      <c r="H239" s="30">
        <f t="shared" si="29"/>
        <v>0</v>
      </c>
      <c r="I239" s="82">
        <f t="shared" si="30"/>
        <v>0</v>
      </c>
      <c r="J239" s="82">
        <f t="shared" si="31"/>
        <v>0</v>
      </c>
      <c r="K239" s="30" t="str">
        <f t="shared" si="32"/>
        <v>MEJORA</v>
      </c>
    </row>
    <row r="240" spans="1:11" x14ac:dyDescent="0.25">
      <c r="A240" s="47" t="s">
        <v>153</v>
      </c>
      <c r="B240" s="47" t="s">
        <v>177</v>
      </c>
      <c r="C240" s="47">
        <v>45917</v>
      </c>
      <c r="D240" s="36" t="s">
        <v>149</v>
      </c>
      <c r="E240" s="45" t="s">
        <v>137</v>
      </c>
      <c r="F240" s="5" t="s">
        <v>31</v>
      </c>
      <c r="G240" s="75">
        <v>0</v>
      </c>
      <c r="H240" s="30">
        <f t="shared" si="29"/>
        <v>0</v>
      </c>
      <c r="I240" s="82">
        <f t="shared" si="30"/>
        <v>0</v>
      </c>
      <c r="J240" s="82">
        <f t="shared" si="31"/>
        <v>0</v>
      </c>
      <c r="K240" s="30" t="str">
        <f t="shared" si="32"/>
        <v>MEJORA</v>
      </c>
    </row>
    <row r="241" spans="1:11" x14ac:dyDescent="0.25">
      <c r="A241" s="39" t="s">
        <v>153</v>
      </c>
      <c r="B241" s="39" t="s">
        <v>177</v>
      </c>
      <c r="C241" s="41">
        <v>45917</v>
      </c>
      <c r="D241" s="42"/>
      <c r="E241" s="39" t="s">
        <v>137</v>
      </c>
      <c r="F241" s="42"/>
      <c r="G241" s="79">
        <f>SUM(G212:G240)</f>
        <v>0</v>
      </c>
      <c r="H241" s="44">
        <f>SUM(H212:H240)</f>
        <v>0</v>
      </c>
      <c r="I241" s="83">
        <f>SUM(I212:I240)</f>
        <v>12.290624999999999</v>
      </c>
      <c r="J241" s="83">
        <f t="shared" si="31"/>
        <v>40.968750000000014</v>
      </c>
      <c r="K241" s="30" t="str">
        <f t="shared" si="32"/>
        <v>MEJORA</v>
      </c>
    </row>
    <row r="242" spans="1:11" x14ac:dyDescent="0.25">
      <c r="A242" s="47" t="s">
        <v>153</v>
      </c>
      <c r="B242" s="47" t="s">
        <v>178</v>
      </c>
      <c r="C242" s="47">
        <v>45917</v>
      </c>
      <c r="D242" s="35" t="s">
        <v>148</v>
      </c>
      <c r="E242" s="38" t="s">
        <v>137</v>
      </c>
      <c r="F242" s="9" t="s">
        <v>108</v>
      </c>
      <c r="G242" s="75" cm="1">
        <f t="array" ref="G242:G270">TRANSPOSE(DIAGNÓSTICO!P57:AR57)</f>
        <v>0</v>
      </c>
      <c r="H242" s="30">
        <f>IFERROR((G242/$G$271),0)</f>
        <v>0</v>
      </c>
      <c r="I242" s="82">
        <f>I152</f>
        <v>0.64687500000000009</v>
      </c>
      <c r="J242" s="82">
        <f>((G62)-(I152+I242))</f>
        <v>2.15625</v>
      </c>
      <c r="K242" s="30" t="str">
        <f t="shared" si="32"/>
        <v>MEJORA</v>
      </c>
    </row>
    <row r="243" spans="1:11" x14ac:dyDescent="0.25">
      <c r="A243" s="47" t="s">
        <v>153</v>
      </c>
      <c r="B243" s="47" t="s">
        <v>178</v>
      </c>
      <c r="C243" s="47">
        <v>45917</v>
      </c>
      <c r="D243" s="35" t="s">
        <v>148</v>
      </c>
      <c r="E243" s="38" t="s">
        <v>137</v>
      </c>
      <c r="F243" s="9" t="s">
        <v>109</v>
      </c>
      <c r="G243" s="75">
        <v>0</v>
      </c>
      <c r="H243" s="30">
        <f t="shared" ref="H243:H270" si="33">IFERROR((G243/$G$271),0)</f>
        <v>0</v>
      </c>
      <c r="I243" s="82">
        <f t="shared" ref="I243:I270" si="34">I153</f>
        <v>0.64687500000000009</v>
      </c>
      <c r="J243" s="82">
        <f t="shared" ref="J243:J270" si="35">((G63)-(I153+I243))</f>
        <v>2.15625</v>
      </c>
      <c r="K243" s="30" t="str">
        <f t="shared" si="32"/>
        <v>MEJORA</v>
      </c>
    </row>
    <row r="244" spans="1:11" x14ac:dyDescent="0.25">
      <c r="A244" s="47" t="s">
        <v>153</v>
      </c>
      <c r="B244" s="47" t="s">
        <v>178</v>
      </c>
      <c r="C244" s="47">
        <v>45917</v>
      </c>
      <c r="D244" s="35" t="s">
        <v>148</v>
      </c>
      <c r="E244" s="38" t="s">
        <v>137</v>
      </c>
      <c r="F244" s="9" t="s">
        <v>110</v>
      </c>
      <c r="G244" s="75">
        <v>0</v>
      </c>
      <c r="H244" s="30">
        <f t="shared" si="33"/>
        <v>0</v>
      </c>
      <c r="I244" s="82">
        <f t="shared" si="34"/>
        <v>1.9406250000000003</v>
      </c>
      <c r="J244" s="82">
        <f t="shared" si="35"/>
        <v>6.4687500000000009</v>
      </c>
      <c r="K244" s="30" t="str">
        <f t="shared" si="32"/>
        <v>MEJORA</v>
      </c>
    </row>
    <row r="245" spans="1:11" x14ac:dyDescent="0.25">
      <c r="A245" s="47" t="s">
        <v>153</v>
      </c>
      <c r="B245" s="47" t="s">
        <v>178</v>
      </c>
      <c r="C245" s="47">
        <v>45917</v>
      </c>
      <c r="D245" s="35" t="s">
        <v>148</v>
      </c>
      <c r="E245" s="38" t="s">
        <v>137</v>
      </c>
      <c r="F245" s="9" t="s">
        <v>111</v>
      </c>
      <c r="G245" s="75">
        <v>0</v>
      </c>
      <c r="H245" s="30">
        <f t="shared" si="33"/>
        <v>0</v>
      </c>
      <c r="I245" s="82">
        <f t="shared" si="34"/>
        <v>1.2937500000000002</v>
      </c>
      <c r="J245" s="82">
        <f t="shared" si="35"/>
        <v>4.3125</v>
      </c>
      <c r="K245" s="30" t="str">
        <f t="shared" si="32"/>
        <v>MEJORA</v>
      </c>
    </row>
    <row r="246" spans="1:11" x14ac:dyDescent="0.25">
      <c r="A246" s="47" t="s">
        <v>153</v>
      </c>
      <c r="B246" s="47" t="s">
        <v>178</v>
      </c>
      <c r="C246" s="47">
        <v>45917</v>
      </c>
      <c r="D246" s="35" t="s">
        <v>148</v>
      </c>
      <c r="E246" s="38" t="s">
        <v>137</v>
      </c>
      <c r="F246" s="9" t="s">
        <v>112</v>
      </c>
      <c r="G246" s="75">
        <v>0</v>
      </c>
      <c r="H246" s="30">
        <f t="shared" si="33"/>
        <v>0</v>
      </c>
      <c r="I246" s="82">
        <f t="shared" si="34"/>
        <v>1.9406250000000003</v>
      </c>
      <c r="J246" s="82">
        <f t="shared" si="35"/>
        <v>6.4687500000000009</v>
      </c>
      <c r="K246" s="30" t="str">
        <f t="shared" si="32"/>
        <v>MEJORA</v>
      </c>
    </row>
    <row r="247" spans="1:11" x14ac:dyDescent="0.25">
      <c r="A247" s="47" t="s">
        <v>153</v>
      </c>
      <c r="B247" s="47" t="s">
        <v>178</v>
      </c>
      <c r="C247" s="47">
        <v>45917</v>
      </c>
      <c r="D247" s="35" t="s">
        <v>148</v>
      </c>
      <c r="E247" s="38" t="s">
        <v>137</v>
      </c>
      <c r="F247" s="9" t="s">
        <v>113</v>
      </c>
      <c r="G247" s="75">
        <v>0</v>
      </c>
      <c r="H247" s="30">
        <f t="shared" si="33"/>
        <v>0</v>
      </c>
      <c r="I247" s="82">
        <f t="shared" si="34"/>
        <v>1.9406250000000003</v>
      </c>
      <c r="J247" s="82">
        <f t="shared" si="35"/>
        <v>6.4687500000000009</v>
      </c>
      <c r="K247" s="30" t="str">
        <f t="shared" si="32"/>
        <v>MEJORA</v>
      </c>
    </row>
    <row r="248" spans="1:11" x14ac:dyDescent="0.25">
      <c r="A248" s="47" t="s">
        <v>153</v>
      </c>
      <c r="B248" s="47" t="s">
        <v>178</v>
      </c>
      <c r="C248" s="47">
        <v>45917</v>
      </c>
      <c r="D248" s="35" t="s">
        <v>148</v>
      </c>
      <c r="E248" s="38" t="s">
        <v>137</v>
      </c>
      <c r="F248" s="9" t="s">
        <v>114</v>
      </c>
      <c r="G248" s="75">
        <v>0</v>
      </c>
      <c r="H248" s="30">
        <f t="shared" si="33"/>
        <v>0</v>
      </c>
      <c r="I248" s="82">
        <f t="shared" si="34"/>
        <v>1.9406250000000003</v>
      </c>
      <c r="J248" s="82">
        <f t="shared" si="35"/>
        <v>6.4687500000000009</v>
      </c>
      <c r="K248" s="30" t="str">
        <f t="shared" si="32"/>
        <v>MEJORA</v>
      </c>
    </row>
    <row r="249" spans="1:11" x14ac:dyDescent="0.25">
      <c r="A249" s="47" t="s">
        <v>153</v>
      </c>
      <c r="B249" s="47" t="s">
        <v>178</v>
      </c>
      <c r="C249" s="47">
        <v>45917</v>
      </c>
      <c r="D249" s="35" t="s">
        <v>148</v>
      </c>
      <c r="E249" s="38" t="s">
        <v>137</v>
      </c>
      <c r="F249" s="9" t="s">
        <v>115</v>
      </c>
      <c r="G249" s="75">
        <v>0</v>
      </c>
      <c r="H249" s="30">
        <f t="shared" si="33"/>
        <v>0</v>
      </c>
      <c r="I249" s="82">
        <f t="shared" si="34"/>
        <v>0</v>
      </c>
      <c r="J249" s="82">
        <f t="shared" si="35"/>
        <v>0</v>
      </c>
      <c r="K249" s="30" t="str">
        <f t="shared" si="32"/>
        <v>MEJORA</v>
      </c>
    </row>
    <row r="250" spans="1:11" x14ac:dyDescent="0.25">
      <c r="A250" s="47" t="s">
        <v>153</v>
      </c>
      <c r="B250" s="47" t="s">
        <v>178</v>
      </c>
      <c r="C250" s="47">
        <v>45917</v>
      </c>
      <c r="D250" s="35" t="s">
        <v>148</v>
      </c>
      <c r="E250" s="38" t="s">
        <v>137</v>
      </c>
      <c r="F250" s="9" t="s">
        <v>116</v>
      </c>
      <c r="G250" s="75">
        <v>0</v>
      </c>
      <c r="H250" s="30">
        <f t="shared" si="33"/>
        <v>0</v>
      </c>
      <c r="I250" s="82">
        <f t="shared" si="34"/>
        <v>0</v>
      </c>
      <c r="J250" s="82">
        <f t="shared" si="35"/>
        <v>0</v>
      </c>
      <c r="K250" s="30" t="str">
        <f t="shared" si="32"/>
        <v>MEJORA</v>
      </c>
    </row>
    <row r="251" spans="1:11" x14ac:dyDescent="0.25">
      <c r="A251" s="47" t="s">
        <v>153</v>
      </c>
      <c r="B251" s="47" t="s">
        <v>178</v>
      </c>
      <c r="C251" s="47">
        <v>45917</v>
      </c>
      <c r="D251" s="35" t="s">
        <v>148</v>
      </c>
      <c r="E251" s="38" t="s">
        <v>137</v>
      </c>
      <c r="F251" s="9" t="s">
        <v>117</v>
      </c>
      <c r="G251" s="75">
        <v>0</v>
      </c>
      <c r="H251" s="30">
        <f t="shared" si="33"/>
        <v>0</v>
      </c>
      <c r="I251" s="82">
        <f t="shared" si="34"/>
        <v>0</v>
      </c>
      <c r="J251" s="82">
        <f t="shared" si="35"/>
        <v>0</v>
      </c>
      <c r="K251" s="30" t="str">
        <f t="shared" si="32"/>
        <v>MEJORA</v>
      </c>
    </row>
    <row r="252" spans="1:11" x14ac:dyDescent="0.25">
      <c r="A252" s="47" t="s">
        <v>153</v>
      </c>
      <c r="B252" s="47" t="s">
        <v>178</v>
      </c>
      <c r="C252" s="47">
        <v>45917</v>
      </c>
      <c r="D252" s="36" t="s">
        <v>62</v>
      </c>
      <c r="E252" s="45" t="s">
        <v>137</v>
      </c>
      <c r="F252" s="5" t="s">
        <v>118</v>
      </c>
      <c r="G252" s="75">
        <v>0</v>
      </c>
      <c r="H252" s="30">
        <f t="shared" si="33"/>
        <v>0</v>
      </c>
      <c r="I252" s="82">
        <f t="shared" si="34"/>
        <v>0.64687500000000009</v>
      </c>
      <c r="J252" s="82">
        <f t="shared" si="35"/>
        <v>2.15625</v>
      </c>
      <c r="K252" s="30" t="str">
        <f t="shared" si="32"/>
        <v>MEJORA</v>
      </c>
    </row>
    <row r="253" spans="1:11" x14ac:dyDescent="0.25">
      <c r="A253" s="47" t="s">
        <v>153</v>
      </c>
      <c r="B253" s="47" t="s">
        <v>178</v>
      </c>
      <c r="C253" s="47">
        <v>45917</v>
      </c>
      <c r="D253" s="36" t="s">
        <v>62</v>
      </c>
      <c r="E253" s="45" t="s">
        <v>137</v>
      </c>
      <c r="F253" s="5" t="s">
        <v>24</v>
      </c>
      <c r="G253" s="75">
        <v>0</v>
      </c>
      <c r="H253" s="30">
        <f t="shared" si="33"/>
        <v>0</v>
      </c>
      <c r="I253" s="82">
        <f t="shared" si="34"/>
        <v>0.64687500000000009</v>
      </c>
      <c r="J253" s="82">
        <f t="shared" si="35"/>
        <v>2.15625</v>
      </c>
      <c r="K253" s="30" t="str">
        <f t="shared" si="32"/>
        <v>MEJORA</v>
      </c>
    </row>
    <row r="254" spans="1:11" x14ac:dyDescent="0.25">
      <c r="A254" s="47" t="s">
        <v>153</v>
      </c>
      <c r="B254" s="47" t="s">
        <v>178</v>
      </c>
      <c r="C254" s="47">
        <v>45917</v>
      </c>
      <c r="D254" s="36" t="s">
        <v>62</v>
      </c>
      <c r="E254" s="45" t="s">
        <v>137</v>
      </c>
      <c r="F254" s="5" t="s">
        <v>25</v>
      </c>
      <c r="G254" s="75">
        <v>0</v>
      </c>
      <c r="H254" s="30">
        <f t="shared" si="33"/>
        <v>0</v>
      </c>
      <c r="I254" s="82">
        <f t="shared" si="34"/>
        <v>0</v>
      </c>
      <c r="J254" s="82">
        <f t="shared" si="35"/>
        <v>0</v>
      </c>
      <c r="K254" s="30" t="str">
        <f t="shared" si="32"/>
        <v>MEJORA</v>
      </c>
    </row>
    <row r="255" spans="1:11" x14ac:dyDescent="0.25">
      <c r="A255" s="47" t="s">
        <v>153</v>
      </c>
      <c r="B255" s="47" t="s">
        <v>178</v>
      </c>
      <c r="C255" s="47">
        <v>45917</v>
      </c>
      <c r="D255" s="36" t="s">
        <v>62</v>
      </c>
      <c r="E255" s="45" t="s">
        <v>137</v>
      </c>
      <c r="F255" s="5" t="s">
        <v>26</v>
      </c>
      <c r="G255" s="75">
        <v>0</v>
      </c>
      <c r="H255" s="30">
        <f t="shared" si="33"/>
        <v>0</v>
      </c>
      <c r="I255" s="82">
        <f t="shared" si="34"/>
        <v>0.64687500000000009</v>
      </c>
      <c r="J255" s="82">
        <f t="shared" si="35"/>
        <v>2.15625</v>
      </c>
      <c r="K255" s="30" t="str">
        <f t="shared" si="32"/>
        <v>MEJORA</v>
      </c>
    </row>
    <row r="256" spans="1:11" x14ac:dyDescent="0.25">
      <c r="A256" s="47" t="s">
        <v>153</v>
      </c>
      <c r="B256" s="47" t="s">
        <v>178</v>
      </c>
      <c r="C256" s="47">
        <v>45917</v>
      </c>
      <c r="D256" s="36" t="s">
        <v>62</v>
      </c>
      <c r="E256" s="45" t="s">
        <v>137</v>
      </c>
      <c r="F256" s="5" t="s">
        <v>27</v>
      </c>
      <c r="G256" s="75">
        <v>0</v>
      </c>
      <c r="H256" s="30">
        <f t="shared" si="33"/>
        <v>0</v>
      </c>
      <c r="I256" s="82">
        <f t="shared" si="34"/>
        <v>0</v>
      </c>
      <c r="J256" s="82">
        <f t="shared" si="35"/>
        <v>0</v>
      </c>
      <c r="K256" s="30" t="str">
        <f t="shared" si="32"/>
        <v>MEJORA</v>
      </c>
    </row>
    <row r="257" spans="1:12" x14ac:dyDescent="0.25">
      <c r="A257" s="47" t="s">
        <v>153</v>
      </c>
      <c r="B257" s="47" t="s">
        <v>178</v>
      </c>
      <c r="C257" s="47">
        <v>45917</v>
      </c>
      <c r="D257" s="36" t="s">
        <v>62</v>
      </c>
      <c r="E257" s="45" t="s">
        <v>137</v>
      </c>
      <c r="F257" s="5" t="s">
        <v>28</v>
      </c>
      <c r="G257" s="75">
        <v>0</v>
      </c>
      <c r="H257" s="30">
        <f t="shared" si="33"/>
        <v>0</v>
      </c>
      <c r="I257" s="82">
        <f t="shared" si="34"/>
        <v>1.2937500000000002</v>
      </c>
      <c r="J257" s="82">
        <f t="shared" si="35"/>
        <v>4.3125</v>
      </c>
      <c r="K257" s="30" t="str">
        <f t="shared" si="32"/>
        <v>MEJORA</v>
      </c>
    </row>
    <row r="258" spans="1:12" x14ac:dyDescent="0.25">
      <c r="A258" s="47" t="s">
        <v>153</v>
      </c>
      <c r="B258" s="47" t="s">
        <v>178</v>
      </c>
      <c r="C258" s="47">
        <v>45917</v>
      </c>
      <c r="D258" s="36" t="s">
        <v>62</v>
      </c>
      <c r="E258" s="45" t="s">
        <v>137</v>
      </c>
      <c r="F258" s="5" t="s">
        <v>119</v>
      </c>
      <c r="G258" s="75">
        <v>0</v>
      </c>
      <c r="H258" s="30">
        <f t="shared" si="33"/>
        <v>0</v>
      </c>
      <c r="I258" s="82">
        <f t="shared" si="34"/>
        <v>1.9406250000000003</v>
      </c>
      <c r="J258" s="82">
        <f t="shared" si="35"/>
        <v>6.4687500000000009</v>
      </c>
      <c r="K258" s="30" t="str">
        <f t="shared" si="32"/>
        <v>MEJORA</v>
      </c>
    </row>
    <row r="259" spans="1:12" x14ac:dyDescent="0.25">
      <c r="A259" s="47" t="s">
        <v>153</v>
      </c>
      <c r="B259" s="47" t="s">
        <v>178</v>
      </c>
      <c r="C259" s="47">
        <v>45917</v>
      </c>
      <c r="D259" s="36" t="s">
        <v>62</v>
      </c>
      <c r="E259" s="45" t="s">
        <v>137</v>
      </c>
      <c r="F259" s="5" t="s">
        <v>120</v>
      </c>
      <c r="G259" s="75">
        <v>0</v>
      </c>
      <c r="H259" s="30">
        <f t="shared" si="33"/>
        <v>0</v>
      </c>
      <c r="I259" s="82">
        <f t="shared" si="34"/>
        <v>0</v>
      </c>
      <c r="J259" s="82">
        <f t="shared" si="35"/>
        <v>0</v>
      </c>
      <c r="K259" s="30" t="str">
        <f t="shared" si="32"/>
        <v>MEJORA</v>
      </c>
    </row>
    <row r="260" spans="1:12" x14ac:dyDescent="0.25">
      <c r="A260" s="47" t="s">
        <v>153</v>
      </c>
      <c r="B260" s="47" t="s">
        <v>178</v>
      </c>
      <c r="C260" s="47">
        <v>45917</v>
      </c>
      <c r="D260" s="36" t="s">
        <v>62</v>
      </c>
      <c r="E260" s="45" t="s">
        <v>137</v>
      </c>
      <c r="F260" s="5" t="s">
        <v>121</v>
      </c>
      <c r="G260" s="75">
        <v>0</v>
      </c>
      <c r="H260" s="30">
        <f t="shared" si="33"/>
        <v>0</v>
      </c>
      <c r="I260" s="82">
        <f t="shared" si="34"/>
        <v>0</v>
      </c>
      <c r="J260" s="82">
        <f t="shared" si="35"/>
        <v>0</v>
      </c>
      <c r="K260" s="30" t="str">
        <f t="shared" si="32"/>
        <v>MEJORA</v>
      </c>
    </row>
    <row r="261" spans="1:12" x14ac:dyDescent="0.25">
      <c r="A261" s="47" t="s">
        <v>153</v>
      </c>
      <c r="B261" s="47" t="s">
        <v>178</v>
      </c>
      <c r="C261" s="47">
        <v>45917</v>
      </c>
      <c r="D261" s="36" t="s">
        <v>62</v>
      </c>
      <c r="E261" s="45" t="s">
        <v>137</v>
      </c>
      <c r="F261" s="5" t="s">
        <v>122</v>
      </c>
      <c r="G261" s="75">
        <v>0</v>
      </c>
      <c r="H261" s="30">
        <f t="shared" si="33"/>
        <v>0</v>
      </c>
      <c r="I261" s="82">
        <f t="shared" si="34"/>
        <v>0</v>
      </c>
      <c r="J261" s="82">
        <f t="shared" si="35"/>
        <v>0</v>
      </c>
      <c r="K261" s="30" t="str">
        <f t="shared" si="32"/>
        <v>MEJORA</v>
      </c>
    </row>
    <row r="262" spans="1:12" x14ac:dyDescent="0.25">
      <c r="A262" s="47" t="s">
        <v>153</v>
      </c>
      <c r="B262" s="47" t="s">
        <v>178</v>
      </c>
      <c r="C262" s="47">
        <v>45917</v>
      </c>
      <c r="D262" s="48" t="s">
        <v>150</v>
      </c>
      <c r="E262" s="46" t="s">
        <v>137</v>
      </c>
      <c r="F262" s="10" t="s">
        <v>123</v>
      </c>
      <c r="G262" s="75">
        <v>0</v>
      </c>
      <c r="H262" s="30">
        <f t="shared" si="33"/>
        <v>0</v>
      </c>
      <c r="I262" s="82">
        <f t="shared" si="34"/>
        <v>1.2937500000000002</v>
      </c>
      <c r="J262" s="82">
        <f t="shared" si="35"/>
        <v>4.3125</v>
      </c>
      <c r="K262" s="30" t="str">
        <f t="shared" si="32"/>
        <v>MEJORA</v>
      </c>
    </row>
    <row r="263" spans="1:12" x14ac:dyDescent="0.25">
      <c r="A263" s="47" t="s">
        <v>153</v>
      </c>
      <c r="B263" s="47" t="s">
        <v>178</v>
      </c>
      <c r="C263" s="47">
        <v>45917</v>
      </c>
      <c r="D263" s="48" t="s">
        <v>150</v>
      </c>
      <c r="E263" s="46" t="s">
        <v>137</v>
      </c>
      <c r="F263" s="10" t="s">
        <v>124</v>
      </c>
      <c r="G263" s="75">
        <v>0</v>
      </c>
      <c r="H263" s="30">
        <f t="shared" si="33"/>
        <v>0</v>
      </c>
      <c r="I263" s="82">
        <f t="shared" si="34"/>
        <v>0</v>
      </c>
      <c r="J263" s="82">
        <f t="shared" si="35"/>
        <v>0</v>
      </c>
      <c r="K263" s="30" t="str">
        <f t="shared" si="32"/>
        <v>MEJORA</v>
      </c>
    </row>
    <row r="264" spans="1:12" x14ac:dyDescent="0.25">
      <c r="A264" s="47" t="s">
        <v>153</v>
      </c>
      <c r="B264" s="47" t="s">
        <v>178</v>
      </c>
      <c r="C264" s="47">
        <v>45917</v>
      </c>
      <c r="D264" s="48" t="s">
        <v>150</v>
      </c>
      <c r="E264" s="46" t="s">
        <v>137</v>
      </c>
      <c r="F264" s="10" t="s">
        <v>125</v>
      </c>
      <c r="G264" s="75">
        <v>0</v>
      </c>
      <c r="H264" s="30">
        <f t="shared" si="33"/>
        <v>0</v>
      </c>
      <c r="I264" s="82">
        <f t="shared" si="34"/>
        <v>0</v>
      </c>
      <c r="J264" s="82">
        <f t="shared" si="35"/>
        <v>0</v>
      </c>
      <c r="K264" s="30" t="str">
        <f t="shared" si="32"/>
        <v>MEJORA</v>
      </c>
    </row>
    <row r="265" spans="1:12" x14ac:dyDescent="0.25">
      <c r="A265" s="47" t="s">
        <v>153</v>
      </c>
      <c r="B265" s="47" t="s">
        <v>178</v>
      </c>
      <c r="C265" s="47">
        <v>45917</v>
      </c>
      <c r="D265" s="48" t="s">
        <v>150</v>
      </c>
      <c r="E265" s="46" t="s">
        <v>137</v>
      </c>
      <c r="F265" s="10" t="s">
        <v>126</v>
      </c>
      <c r="G265" s="75">
        <v>0</v>
      </c>
      <c r="H265" s="30">
        <f t="shared" si="33"/>
        <v>0</v>
      </c>
      <c r="I265" s="82">
        <f t="shared" si="34"/>
        <v>0</v>
      </c>
      <c r="J265" s="82">
        <f t="shared" si="35"/>
        <v>0</v>
      </c>
      <c r="K265" s="30" t="str">
        <f t="shared" si="32"/>
        <v>MEJORA</v>
      </c>
    </row>
    <row r="266" spans="1:12" x14ac:dyDescent="0.25">
      <c r="A266" s="47" t="s">
        <v>153</v>
      </c>
      <c r="B266" s="47" t="s">
        <v>178</v>
      </c>
      <c r="C266" s="47">
        <v>45917</v>
      </c>
      <c r="D266" s="48" t="s">
        <v>150</v>
      </c>
      <c r="E266" s="46" t="s">
        <v>137</v>
      </c>
      <c r="F266" s="10" t="s">
        <v>127</v>
      </c>
      <c r="G266" s="75">
        <v>0</v>
      </c>
      <c r="H266" s="30">
        <f t="shared" si="33"/>
        <v>0</v>
      </c>
      <c r="I266" s="82">
        <f t="shared" si="34"/>
        <v>0</v>
      </c>
      <c r="J266" s="82">
        <f t="shared" si="35"/>
        <v>0</v>
      </c>
      <c r="K266" s="30" t="str">
        <f t="shared" si="32"/>
        <v>MEJORA</v>
      </c>
    </row>
    <row r="267" spans="1:12" x14ac:dyDescent="0.25">
      <c r="A267" s="47" t="s">
        <v>153</v>
      </c>
      <c r="B267" s="47" t="s">
        <v>178</v>
      </c>
      <c r="C267" s="47">
        <v>45917</v>
      </c>
      <c r="D267" s="48" t="s">
        <v>150</v>
      </c>
      <c r="E267" s="46" t="s">
        <v>137</v>
      </c>
      <c r="F267" s="10" t="s">
        <v>30</v>
      </c>
      <c r="G267" s="75">
        <v>0</v>
      </c>
      <c r="H267" s="30">
        <f t="shared" si="33"/>
        <v>0</v>
      </c>
      <c r="I267" s="82">
        <f t="shared" si="34"/>
        <v>0</v>
      </c>
      <c r="J267" s="82">
        <f t="shared" si="35"/>
        <v>0</v>
      </c>
      <c r="K267" s="30" t="str">
        <f t="shared" si="32"/>
        <v>MEJORA</v>
      </c>
    </row>
    <row r="268" spans="1:12" x14ac:dyDescent="0.25">
      <c r="A268" s="47" t="s">
        <v>153</v>
      </c>
      <c r="B268" s="47" t="s">
        <v>178</v>
      </c>
      <c r="C268" s="47">
        <v>45917</v>
      </c>
      <c r="D268" s="36" t="s">
        <v>149</v>
      </c>
      <c r="E268" s="45" t="s">
        <v>137</v>
      </c>
      <c r="F268" s="5" t="s">
        <v>128</v>
      </c>
      <c r="G268" s="75">
        <v>0</v>
      </c>
      <c r="H268" s="30">
        <f t="shared" si="33"/>
        <v>0</v>
      </c>
      <c r="I268" s="82">
        <f t="shared" si="34"/>
        <v>0</v>
      </c>
      <c r="J268" s="82">
        <f t="shared" si="35"/>
        <v>0</v>
      </c>
      <c r="K268" s="30" t="str">
        <f t="shared" si="32"/>
        <v>MEJORA</v>
      </c>
    </row>
    <row r="269" spans="1:12" x14ac:dyDescent="0.25">
      <c r="A269" s="47" t="s">
        <v>153</v>
      </c>
      <c r="B269" s="47" t="s">
        <v>178</v>
      </c>
      <c r="C269" s="47">
        <v>45917</v>
      </c>
      <c r="D269" s="36" t="s">
        <v>149</v>
      </c>
      <c r="E269" s="45" t="s">
        <v>137</v>
      </c>
      <c r="F269" s="5" t="s">
        <v>129</v>
      </c>
      <c r="G269" s="75">
        <v>0</v>
      </c>
      <c r="H269" s="30">
        <f t="shared" si="33"/>
        <v>0</v>
      </c>
      <c r="I269" s="82">
        <f t="shared" si="34"/>
        <v>0</v>
      </c>
      <c r="J269" s="82">
        <f t="shared" si="35"/>
        <v>0</v>
      </c>
      <c r="K269" s="30" t="str">
        <f t="shared" si="32"/>
        <v>MEJORA</v>
      </c>
    </row>
    <row r="270" spans="1:12" x14ac:dyDescent="0.25">
      <c r="A270" s="47" t="s">
        <v>153</v>
      </c>
      <c r="B270" s="47" t="s">
        <v>178</v>
      </c>
      <c r="C270" s="47">
        <v>45917</v>
      </c>
      <c r="D270" s="36" t="s">
        <v>149</v>
      </c>
      <c r="E270" s="45" t="s">
        <v>137</v>
      </c>
      <c r="F270" s="5" t="s">
        <v>31</v>
      </c>
      <c r="G270" s="75">
        <v>0</v>
      </c>
      <c r="H270" s="30">
        <f t="shared" si="33"/>
        <v>0</v>
      </c>
      <c r="I270" s="82">
        <f t="shared" si="34"/>
        <v>0</v>
      </c>
      <c r="J270" s="82">
        <f t="shared" si="35"/>
        <v>0</v>
      </c>
      <c r="K270" s="30" t="str">
        <f t="shared" si="32"/>
        <v>MEJORA</v>
      </c>
    </row>
    <row r="271" spans="1:12" x14ac:dyDescent="0.25">
      <c r="A271" s="39" t="s">
        <v>153</v>
      </c>
      <c r="B271" s="39" t="s">
        <v>178</v>
      </c>
      <c r="C271" s="41">
        <v>45917</v>
      </c>
      <c r="D271" s="42"/>
      <c r="E271" s="39" t="s">
        <v>137</v>
      </c>
      <c r="F271" s="42"/>
      <c r="G271" s="79">
        <f>SUM(G242:G270)</f>
        <v>0</v>
      </c>
      <c r="H271" s="44">
        <f>SUM(H242:H270)</f>
        <v>0</v>
      </c>
      <c r="I271" s="83">
        <f>SUM(I242:I270)</f>
        <v>16.818750000000001</v>
      </c>
      <c r="J271" s="83">
        <f>SUM(J242:J270)</f>
        <v>56.0625</v>
      </c>
      <c r="K271" s="30" t="str">
        <f t="shared" si="32"/>
        <v>MEJORA</v>
      </c>
      <c r="L271" s="64"/>
    </row>
    <row r="272" spans="1:12" x14ac:dyDescent="0.25">
      <c r="A272" s="47" t="s">
        <v>153</v>
      </c>
      <c r="B272" s="47" t="s">
        <v>176</v>
      </c>
      <c r="C272" s="47">
        <v>45917</v>
      </c>
      <c r="D272" s="35" t="s">
        <v>148</v>
      </c>
      <c r="E272" s="38" t="s">
        <v>138</v>
      </c>
      <c r="F272" s="9" t="s">
        <v>108</v>
      </c>
      <c r="G272" s="75" cm="1">
        <f t="array" ref="G272:G300">TRANSPOSE(DIAGNÓSTICO!P64:AR64)</f>
        <v>0</v>
      </c>
      <c r="H272" s="30">
        <f>IFERROR((G272/$G$301),0)</f>
        <v>0</v>
      </c>
      <c r="I272" s="82">
        <f>I92</f>
        <v>0</v>
      </c>
      <c r="J272" s="82">
        <f>((G2)-(I92+I182+I272))</f>
        <v>0</v>
      </c>
      <c r="K272" s="30" t="str">
        <f>IF(G272&lt;=J272,$N$1,IF(G272=G182,$M$1,IF(G272&gt;J272,$O$1,0)))</f>
        <v>MEJORA</v>
      </c>
    </row>
    <row r="273" spans="1:11" x14ac:dyDescent="0.25">
      <c r="A273" s="47" t="s">
        <v>153</v>
      </c>
      <c r="B273" s="47" t="s">
        <v>176</v>
      </c>
      <c r="C273" s="47">
        <v>45917</v>
      </c>
      <c r="D273" s="35" t="s">
        <v>148</v>
      </c>
      <c r="E273" s="38" t="s">
        <v>138</v>
      </c>
      <c r="F273" s="9" t="s">
        <v>109</v>
      </c>
      <c r="G273" s="75">
        <v>0</v>
      </c>
      <c r="H273" s="30">
        <f t="shared" ref="H273:H300" si="36">IFERROR((G273/$G$301),0)</f>
        <v>0</v>
      </c>
      <c r="I273" s="82">
        <f t="shared" ref="I273:I300" si="37">I93</f>
        <v>1.9406250000000003</v>
      </c>
      <c r="J273" s="82">
        <f t="shared" ref="J273:J301" si="38">((G3)-(I93+I183+I273))</f>
        <v>4.5281250000000011</v>
      </c>
      <c r="K273" s="30" t="str">
        <f t="shared" ref="K273:K301" si="39">IF(G273&lt;=J273,$N$1,IF(G273=G183,$M$1,IF(G273&gt;J273,$O$1,0)))</f>
        <v>MEJORA</v>
      </c>
    </row>
    <row r="274" spans="1:11" x14ac:dyDescent="0.25">
      <c r="A274" s="47" t="s">
        <v>153</v>
      </c>
      <c r="B274" s="47" t="s">
        <v>176</v>
      </c>
      <c r="C274" s="47">
        <v>45917</v>
      </c>
      <c r="D274" s="35" t="s">
        <v>148</v>
      </c>
      <c r="E274" s="38" t="s">
        <v>138</v>
      </c>
      <c r="F274" s="9" t="s">
        <v>110</v>
      </c>
      <c r="G274" s="75">
        <v>0</v>
      </c>
      <c r="H274" s="30">
        <f t="shared" si="36"/>
        <v>0</v>
      </c>
      <c r="I274" s="82">
        <f t="shared" si="37"/>
        <v>0</v>
      </c>
      <c r="J274" s="82">
        <f t="shared" si="38"/>
        <v>0</v>
      </c>
      <c r="K274" s="30" t="str">
        <f t="shared" si="39"/>
        <v>MEJORA</v>
      </c>
    </row>
    <row r="275" spans="1:11" x14ac:dyDescent="0.25">
      <c r="A275" s="47" t="s">
        <v>153</v>
      </c>
      <c r="B275" s="47" t="s">
        <v>176</v>
      </c>
      <c r="C275" s="47">
        <v>45917</v>
      </c>
      <c r="D275" s="35" t="s">
        <v>148</v>
      </c>
      <c r="E275" s="38" t="s">
        <v>138</v>
      </c>
      <c r="F275" s="9" t="s">
        <v>111</v>
      </c>
      <c r="G275" s="75">
        <v>0</v>
      </c>
      <c r="H275" s="30">
        <f t="shared" si="36"/>
        <v>0</v>
      </c>
      <c r="I275" s="82">
        <f t="shared" si="37"/>
        <v>0</v>
      </c>
      <c r="J275" s="82">
        <f t="shared" si="38"/>
        <v>0</v>
      </c>
      <c r="K275" s="30" t="str">
        <f t="shared" si="39"/>
        <v>MEJORA</v>
      </c>
    </row>
    <row r="276" spans="1:11" x14ac:dyDescent="0.25">
      <c r="A276" s="47" t="s">
        <v>153</v>
      </c>
      <c r="B276" s="47" t="s">
        <v>176</v>
      </c>
      <c r="C276" s="47">
        <v>45917</v>
      </c>
      <c r="D276" s="35" t="s">
        <v>148</v>
      </c>
      <c r="E276" s="38" t="s">
        <v>138</v>
      </c>
      <c r="F276" s="9" t="s">
        <v>112</v>
      </c>
      <c r="G276" s="75">
        <v>0</v>
      </c>
      <c r="H276" s="30">
        <f t="shared" si="36"/>
        <v>0</v>
      </c>
      <c r="I276" s="82">
        <f t="shared" si="37"/>
        <v>2.5875000000000004</v>
      </c>
      <c r="J276" s="82">
        <f t="shared" si="38"/>
        <v>6.0374999999999996</v>
      </c>
      <c r="K276" s="30" t="str">
        <f t="shared" si="39"/>
        <v>MEJORA</v>
      </c>
    </row>
    <row r="277" spans="1:11" x14ac:dyDescent="0.25">
      <c r="A277" s="47" t="s">
        <v>153</v>
      </c>
      <c r="B277" s="47" t="s">
        <v>176</v>
      </c>
      <c r="C277" s="47">
        <v>45917</v>
      </c>
      <c r="D277" s="35" t="s">
        <v>148</v>
      </c>
      <c r="E277" s="38" t="s">
        <v>138</v>
      </c>
      <c r="F277" s="9" t="s">
        <v>113</v>
      </c>
      <c r="G277" s="75">
        <v>0</v>
      </c>
      <c r="H277" s="30">
        <f t="shared" si="36"/>
        <v>0</v>
      </c>
      <c r="I277" s="82">
        <f t="shared" si="37"/>
        <v>2.5875000000000004</v>
      </c>
      <c r="J277" s="82">
        <f t="shared" si="38"/>
        <v>6.0374999999999996</v>
      </c>
      <c r="K277" s="30" t="str">
        <f t="shared" si="39"/>
        <v>MEJORA</v>
      </c>
    </row>
    <row r="278" spans="1:11" x14ac:dyDescent="0.25">
      <c r="A278" s="47" t="s">
        <v>153</v>
      </c>
      <c r="B278" s="47" t="s">
        <v>176</v>
      </c>
      <c r="C278" s="47">
        <v>45917</v>
      </c>
      <c r="D278" s="35" t="s">
        <v>148</v>
      </c>
      <c r="E278" s="38" t="s">
        <v>138</v>
      </c>
      <c r="F278" s="9" t="s">
        <v>114</v>
      </c>
      <c r="G278" s="75">
        <v>0</v>
      </c>
      <c r="H278" s="30">
        <f t="shared" si="36"/>
        <v>0</v>
      </c>
      <c r="I278" s="82">
        <f t="shared" si="37"/>
        <v>3.234375</v>
      </c>
      <c r="J278" s="82">
        <f t="shared" si="38"/>
        <v>7.546875</v>
      </c>
      <c r="K278" s="30" t="str">
        <f t="shared" si="39"/>
        <v>MEJORA</v>
      </c>
    </row>
    <row r="279" spans="1:11" x14ac:dyDescent="0.25">
      <c r="A279" s="47" t="s">
        <v>153</v>
      </c>
      <c r="B279" s="47" t="s">
        <v>176</v>
      </c>
      <c r="C279" s="47">
        <v>45917</v>
      </c>
      <c r="D279" s="35" t="s">
        <v>148</v>
      </c>
      <c r="E279" s="38" t="s">
        <v>138</v>
      </c>
      <c r="F279" s="9" t="s">
        <v>115</v>
      </c>
      <c r="G279" s="75">
        <v>0</v>
      </c>
      <c r="H279" s="30">
        <f t="shared" si="36"/>
        <v>0</v>
      </c>
      <c r="I279" s="82">
        <f t="shared" si="37"/>
        <v>2.5875000000000004</v>
      </c>
      <c r="J279" s="82">
        <f t="shared" si="38"/>
        <v>6.0374999999999996</v>
      </c>
      <c r="K279" s="30" t="str">
        <f t="shared" si="39"/>
        <v>MEJORA</v>
      </c>
    </row>
    <row r="280" spans="1:11" x14ac:dyDescent="0.25">
      <c r="A280" s="47" t="s">
        <v>153</v>
      </c>
      <c r="B280" s="47" t="s">
        <v>176</v>
      </c>
      <c r="C280" s="47">
        <v>45917</v>
      </c>
      <c r="D280" s="35" t="s">
        <v>148</v>
      </c>
      <c r="E280" s="38" t="s">
        <v>138</v>
      </c>
      <c r="F280" s="9" t="s">
        <v>116</v>
      </c>
      <c r="G280" s="75">
        <v>0</v>
      </c>
      <c r="H280" s="30">
        <f t="shared" si="36"/>
        <v>0</v>
      </c>
      <c r="I280" s="82">
        <f t="shared" si="37"/>
        <v>0.64687500000000009</v>
      </c>
      <c r="J280" s="82">
        <f t="shared" si="38"/>
        <v>1.5093749999999999</v>
      </c>
      <c r="K280" s="30" t="str">
        <f t="shared" si="39"/>
        <v>MEJORA</v>
      </c>
    </row>
    <row r="281" spans="1:11" x14ac:dyDescent="0.25">
      <c r="A281" s="47" t="s">
        <v>153</v>
      </c>
      <c r="B281" s="47" t="s">
        <v>176</v>
      </c>
      <c r="C281" s="47">
        <v>45917</v>
      </c>
      <c r="D281" s="35" t="s">
        <v>148</v>
      </c>
      <c r="E281" s="38" t="s">
        <v>138</v>
      </c>
      <c r="F281" s="9" t="s">
        <v>117</v>
      </c>
      <c r="G281" s="75">
        <v>0</v>
      </c>
      <c r="H281" s="30">
        <f t="shared" si="36"/>
        <v>0</v>
      </c>
      <c r="I281" s="82">
        <f t="shared" si="37"/>
        <v>1.9406250000000003</v>
      </c>
      <c r="J281" s="82">
        <f t="shared" si="38"/>
        <v>4.5281250000000011</v>
      </c>
      <c r="K281" s="30" t="str">
        <f t="shared" si="39"/>
        <v>MEJORA</v>
      </c>
    </row>
    <row r="282" spans="1:11" x14ac:dyDescent="0.25">
      <c r="A282" s="47" t="s">
        <v>153</v>
      </c>
      <c r="B282" s="47" t="s">
        <v>176</v>
      </c>
      <c r="C282" s="47">
        <v>45917</v>
      </c>
      <c r="D282" s="36" t="s">
        <v>62</v>
      </c>
      <c r="E282" s="45" t="s">
        <v>138</v>
      </c>
      <c r="F282" s="5" t="s">
        <v>118</v>
      </c>
      <c r="G282" s="75">
        <v>0</v>
      </c>
      <c r="H282" s="30">
        <f t="shared" si="36"/>
        <v>0</v>
      </c>
      <c r="I282" s="82">
        <f t="shared" si="37"/>
        <v>0.64687500000000009</v>
      </c>
      <c r="J282" s="82">
        <f t="shared" si="38"/>
        <v>1.5093749999999999</v>
      </c>
      <c r="K282" s="30" t="str">
        <f t="shared" si="39"/>
        <v>MEJORA</v>
      </c>
    </row>
    <row r="283" spans="1:11" x14ac:dyDescent="0.25">
      <c r="A283" s="47" t="s">
        <v>153</v>
      </c>
      <c r="B283" s="47" t="s">
        <v>176</v>
      </c>
      <c r="C283" s="47">
        <v>45917</v>
      </c>
      <c r="D283" s="36" t="s">
        <v>62</v>
      </c>
      <c r="E283" s="45" t="s">
        <v>138</v>
      </c>
      <c r="F283" s="5" t="s">
        <v>24</v>
      </c>
      <c r="G283" s="75">
        <v>0</v>
      </c>
      <c r="H283" s="30">
        <f t="shared" si="36"/>
        <v>0</v>
      </c>
      <c r="I283" s="82">
        <f t="shared" si="37"/>
        <v>0</v>
      </c>
      <c r="J283" s="82">
        <f t="shared" si="38"/>
        <v>0</v>
      </c>
      <c r="K283" s="30" t="str">
        <f t="shared" si="39"/>
        <v>MEJORA</v>
      </c>
    </row>
    <row r="284" spans="1:11" x14ac:dyDescent="0.25">
      <c r="A284" s="47" t="s">
        <v>153</v>
      </c>
      <c r="B284" s="47" t="s">
        <v>176</v>
      </c>
      <c r="C284" s="47">
        <v>45917</v>
      </c>
      <c r="D284" s="36" t="s">
        <v>62</v>
      </c>
      <c r="E284" s="45" t="s">
        <v>138</v>
      </c>
      <c r="F284" s="5" t="s">
        <v>25</v>
      </c>
      <c r="G284" s="75">
        <v>0</v>
      </c>
      <c r="H284" s="30">
        <f t="shared" si="36"/>
        <v>0</v>
      </c>
      <c r="I284" s="82">
        <f t="shared" si="37"/>
        <v>0</v>
      </c>
      <c r="J284" s="82">
        <f t="shared" si="38"/>
        <v>0</v>
      </c>
      <c r="K284" s="30" t="str">
        <f t="shared" si="39"/>
        <v>MEJORA</v>
      </c>
    </row>
    <row r="285" spans="1:11" x14ac:dyDescent="0.25">
      <c r="A285" s="47" t="s">
        <v>153</v>
      </c>
      <c r="B285" s="47" t="s">
        <v>176</v>
      </c>
      <c r="C285" s="47">
        <v>45917</v>
      </c>
      <c r="D285" s="36" t="s">
        <v>62</v>
      </c>
      <c r="E285" s="45" t="s">
        <v>138</v>
      </c>
      <c r="F285" s="5" t="s">
        <v>26</v>
      </c>
      <c r="G285" s="75">
        <v>0</v>
      </c>
      <c r="H285" s="30">
        <f t="shared" si="36"/>
        <v>0</v>
      </c>
      <c r="I285" s="82">
        <f t="shared" si="37"/>
        <v>0</v>
      </c>
      <c r="J285" s="82">
        <f t="shared" si="38"/>
        <v>0</v>
      </c>
      <c r="K285" s="30" t="str">
        <f t="shared" si="39"/>
        <v>MEJORA</v>
      </c>
    </row>
    <row r="286" spans="1:11" x14ac:dyDescent="0.25">
      <c r="A286" s="47" t="s">
        <v>153</v>
      </c>
      <c r="B286" s="47" t="s">
        <v>176</v>
      </c>
      <c r="C286" s="47">
        <v>45917</v>
      </c>
      <c r="D286" s="36" t="s">
        <v>62</v>
      </c>
      <c r="E286" s="45" t="s">
        <v>138</v>
      </c>
      <c r="F286" s="5" t="s">
        <v>27</v>
      </c>
      <c r="G286" s="75">
        <v>0</v>
      </c>
      <c r="H286" s="30">
        <f t="shared" si="36"/>
        <v>0</v>
      </c>
      <c r="I286" s="82">
        <f t="shared" si="37"/>
        <v>0</v>
      </c>
      <c r="J286" s="82">
        <f t="shared" si="38"/>
        <v>0</v>
      </c>
      <c r="K286" s="30" t="str">
        <f t="shared" si="39"/>
        <v>MEJORA</v>
      </c>
    </row>
    <row r="287" spans="1:11" x14ac:dyDescent="0.25">
      <c r="A287" s="47" t="s">
        <v>153</v>
      </c>
      <c r="B287" s="47" t="s">
        <v>176</v>
      </c>
      <c r="C287" s="47">
        <v>45917</v>
      </c>
      <c r="D287" s="36" t="s">
        <v>62</v>
      </c>
      <c r="E287" s="45" t="s">
        <v>138</v>
      </c>
      <c r="F287" s="5" t="s">
        <v>28</v>
      </c>
      <c r="G287" s="75">
        <v>0</v>
      </c>
      <c r="H287" s="30">
        <f t="shared" si="36"/>
        <v>0</v>
      </c>
      <c r="I287" s="82">
        <f t="shared" si="37"/>
        <v>0</v>
      </c>
      <c r="J287" s="82">
        <f t="shared" si="38"/>
        <v>0</v>
      </c>
      <c r="K287" s="30" t="str">
        <f t="shared" si="39"/>
        <v>MEJORA</v>
      </c>
    </row>
    <row r="288" spans="1:11" x14ac:dyDescent="0.25">
      <c r="A288" s="47" t="s">
        <v>153</v>
      </c>
      <c r="B288" s="47" t="s">
        <v>176</v>
      </c>
      <c r="C288" s="47">
        <v>45917</v>
      </c>
      <c r="D288" s="36" t="s">
        <v>62</v>
      </c>
      <c r="E288" s="45" t="s">
        <v>138</v>
      </c>
      <c r="F288" s="5" t="s">
        <v>119</v>
      </c>
      <c r="G288" s="75">
        <v>0</v>
      </c>
      <c r="H288" s="30">
        <f t="shared" si="36"/>
        <v>0</v>
      </c>
      <c r="I288" s="82">
        <f t="shared" si="37"/>
        <v>0</v>
      </c>
      <c r="J288" s="82">
        <f t="shared" si="38"/>
        <v>0</v>
      </c>
      <c r="K288" s="30" t="str">
        <f t="shared" si="39"/>
        <v>MEJORA</v>
      </c>
    </row>
    <row r="289" spans="1:11" x14ac:dyDescent="0.25">
      <c r="A289" s="47" t="s">
        <v>153</v>
      </c>
      <c r="B289" s="47" t="s">
        <v>176</v>
      </c>
      <c r="C289" s="47">
        <v>45917</v>
      </c>
      <c r="D289" s="36" t="s">
        <v>62</v>
      </c>
      <c r="E289" s="45" t="s">
        <v>138</v>
      </c>
      <c r="F289" s="5" t="s">
        <v>120</v>
      </c>
      <c r="G289" s="75">
        <v>0</v>
      </c>
      <c r="H289" s="30">
        <f t="shared" si="36"/>
        <v>0</v>
      </c>
      <c r="I289" s="82">
        <f t="shared" si="37"/>
        <v>0</v>
      </c>
      <c r="J289" s="82">
        <f t="shared" si="38"/>
        <v>0</v>
      </c>
      <c r="K289" s="30" t="str">
        <f t="shared" si="39"/>
        <v>MEJORA</v>
      </c>
    </row>
    <row r="290" spans="1:11" x14ac:dyDescent="0.25">
      <c r="A290" s="47" t="s">
        <v>153</v>
      </c>
      <c r="B290" s="47" t="s">
        <v>176</v>
      </c>
      <c r="C290" s="47">
        <v>45917</v>
      </c>
      <c r="D290" s="36" t="s">
        <v>62</v>
      </c>
      <c r="E290" s="45" t="s">
        <v>138</v>
      </c>
      <c r="F290" s="5" t="s">
        <v>121</v>
      </c>
      <c r="G290" s="75">
        <v>0</v>
      </c>
      <c r="H290" s="30">
        <f t="shared" si="36"/>
        <v>0</v>
      </c>
      <c r="I290" s="82">
        <f t="shared" si="37"/>
        <v>0</v>
      </c>
      <c r="J290" s="82">
        <f t="shared" si="38"/>
        <v>0</v>
      </c>
      <c r="K290" s="30" t="str">
        <f t="shared" si="39"/>
        <v>MEJORA</v>
      </c>
    </row>
    <row r="291" spans="1:11" x14ac:dyDescent="0.25">
      <c r="A291" s="47" t="s">
        <v>153</v>
      </c>
      <c r="B291" s="47" t="s">
        <v>176</v>
      </c>
      <c r="C291" s="47">
        <v>45917</v>
      </c>
      <c r="D291" s="36" t="s">
        <v>62</v>
      </c>
      <c r="E291" s="45" t="s">
        <v>138</v>
      </c>
      <c r="F291" s="5" t="s">
        <v>122</v>
      </c>
      <c r="G291" s="75">
        <v>0</v>
      </c>
      <c r="H291" s="30">
        <f t="shared" si="36"/>
        <v>0</v>
      </c>
      <c r="I291" s="82">
        <f t="shared" si="37"/>
        <v>0</v>
      </c>
      <c r="J291" s="82">
        <f t="shared" si="38"/>
        <v>0</v>
      </c>
      <c r="K291" s="30" t="str">
        <f t="shared" si="39"/>
        <v>MEJORA</v>
      </c>
    </row>
    <row r="292" spans="1:11" x14ac:dyDescent="0.25">
      <c r="A292" s="47" t="s">
        <v>153</v>
      </c>
      <c r="B292" s="47" t="s">
        <v>176</v>
      </c>
      <c r="C292" s="47">
        <v>45917</v>
      </c>
      <c r="D292" s="48" t="s">
        <v>150</v>
      </c>
      <c r="E292" s="46" t="s">
        <v>138</v>
      </c>
      <c r="F292" s="10" t="s">
        <v>123</v>
      </c>
      <c r="G292" s="75">
        <v>0</v>
      </c>
      <c r="H292" s="30">
        <f t="shared" si="36"/>
        <v>0</v>
      </c>
      <c r="I292" s="82">
        <f t="shared" si="37"/>
        <v>0</v>
      </c>
      <c r="J292" s="82">
        <f t="shared" si="38"/>
        <v>0</v>
      </c>
      <c r="K292" s="30" t="str">
        <f t="shared" si="39"/>
        <v>MEJORA</v>
      </c>
    </row>
    <row r="293" spans="1:11" x14ac:dyDescent="0.25">
      <c r="A293" s="47" t="s">
        <v>153</v>
      </c>
      <c r="B293" s="47" t="s">
        <v>176</v>
      </c>
      <c r="C293" s="47">
        <v>45917</v>
      </c>
      <c r="D293" s="48" t="s">
        <v>150</v>
      </c>
      <c r="E293" s="46" t="s">
        <v>138</v>
      </c>
      <c r="F293" s="10" t="s">
        <v>124</v>
      </c>
      <c r="G293" s="75">
        <v>0</v>
      </c>
      <c r="H293" s="30">
        <f t="shared" si="36"/>
        <v>0</v>
      </c>
      <c r="I293" s="82">
        <f t="shared" si="37"/>
        <v>0.64687500000000009</v>
      </c>
      <c r="J293" s="82">
        <f t="shared" si="38"/>
        <v>1.5093749999999999</v>
      </c>
      <c r="K293" s="30" t="str">
        <f t="shared" si="39"/>
        <v>MEJORA</v>
      </c>
    </row>
    <row r="294" spans="1:11" x14ac:dyDescent="0.25">
      <c r="A294" s="47" t="s">
        <v>153</v>
      </c>
      <c r="B294" s="47" t="s">
        <v>176</v>
      </c>
      <c r="C294" s="47">
        <v>45917</v>
      </c>
      <c r="D294" s="48" t="s">
        <v>150</v>
      </c>
      <c r="E294" s="46" t="s">
        <v>138</v>
      </c>
      <c r="F294" s="10" t="s">
        <v>125</v>
      </c>
      <c r="G294" s="75">
        <v>0</v>
      </c>
      <c r="H294" s="30">
        <f t="shared" si="36"/>
        <v>0</v>
      </c>
      <c r="I294" s="82">
        <f t="shared" si="37"/>
        <v>0</v>
      </c>
      <c r="J294" s="82">
        <f t="shared" si="38"/>
        <v>0</v>
      </c>
      <c r="K294" s="30" t="str">
        <f t="shared" si="39"/>
        <v>MEJORA</v>
      </c>
    </row>
    <row r="295" spans="1:11" x14ac:dyDescent="0.25">
      <c r="A295" s="47" t="s">
        <v>153</v>
      </c>
      <c r="B295" s="47" t="s">
        <v>176</v>
      </c>
      <c r="C295" s="47">
        <v>45917</v>
      </c>
      <c r="D295" s="48" t="s">
        <v>150</v>
      </c>
      <c r="E295" s="46" t="s">
        <v>138</v>
      </c>
      <c r="F295" s="10" t="s">
        <v>126</v>
      </c>
      <c r="G295" s="75">
        <v>0</v>
      </c>
      <c r="H295" s="30">
        <f t="shared" si="36"/>
        <v>0</v>
      </c>
      <c r="I295" s="82">
        <f t="shared" si="37"/>
        <v>0</v>
      </c>
      <c r="J295" s="82">
        <f t="shared" si="38"/>
        <v>0</v>
      </c>
      <c r="K295" s="30" t="str">
        <f t="shared" si="39"/>
        <v>MEJORA</v>
      </c>
    </row>
    <row r="296" spans="1:11" x14ac:dyDescent="0.25">
      <c r="A296" s="47" t="s">
        <v>153</v>
      </c>
      <c r="B296" s="47" t="s">
        <v>176</v>
      </c>
      <c r="C296" s="47">
        <v>45917</v>
      </c>
      <c r="D296" s="48" t="s">
        <v>150</v>
      </c>
      <c r="E296" s="46" t="s">
        <v>138</v>
      </c>
      <c r="F296" s="10" t="s">
        <v>127</v>
      </c>
      <c r="G296" s="75">
        <v>0</v>
      </c>
      <c r="H296" s="30">
        <f t="shared" si="36"/>
        <v>0</v>
      </c>
      <c r="I296" s="82">
        <f t="shared" si="37"/>
        <v>0</v>
      </c>
      <c r="J296" s="82">
        <f t="shared" si="38"/>
        <v>0</v>
      </c>
      <c r="K296" s="30" t="str">
        <f t="shared" si="39"/>
        <v>MEJORA</v>
      </c>
    </row>
    <row r="297" spans="1:11" x14ac:dyDescent="0.25">
      <c r="A297" s="47" t="s">
        <v>153</v>
      </c>
      <c r="B297" s="47" t="s">
        <v>176</v>
      </c>
      <c r="C297" s="47">
        <v>45917</v>
      </c>
      <c r="D297" s="48" t="s">
        <v>150</v>
      </c>
      <c r="E297" s="46" t="s">
        <v>138</v>
      </c>
      <c r="F297" s="10" t="s">
        <v>30</v>
      </c>
      <c r="G297" s="75">
        <v>0</v>
      </c>
      <c r="H297" s="30">
        <f t="shared" si="36"/>
        <v>0</v>
      </c>
      <c r="I297" s="82">
        <f t="shared" si="37"/>
        <v>0</v>
      </c>
      <c r="J297" s="82">
        <f t="shared" si="38"/>
        <v>0</v>
      </c>
      <c r="K297" s="30" t="str">
        <f t="shared" si="39"/>
        <v>MEJORA</v>
      </c>
    </row>
    <row r="298" spans="1:11" x14ac:dyDescent="0.25">
      <c r="A298" s="47" t="s">
        <v>153</v>
      </c>
      <c r="B298" s="47" t="s">
        <v>176</v>
      </c>
      <c r="C298" s="47">
        <v>45917</v>
      </c>
      <c r="D298" s="36" t="s">
        <v>149</v>
      </c>
      <c r="E298" s="45" t="s">
        <v>138</v>
      </c>
      <c r="F298" s="5" t="s">
        <v>128</v>
      </c>
      <c r="G298" s="75">
        <v>0</v>
      </c>
      <c r="H298" s="30">
        <f t="shared" si="36"/>
        <v>0</v>
      </c>
      <c r="I298" s="82">
        <f t="shared" si="37"/>
        <v>0</v>
      </c>
      <c r="J298" s="82">
        <f t="shared" si="38"/>
        <v>0</v>
      </c>
      <c r="K298" s="30" t="str">
        <f t="shared" si="39"/>
        <v>MEJORA</v>
      </c>
    </row>
    <row r="299" spans="1:11" x14ac:dyDescent="0.25">
      <c r="A299" s="47" t="s">
        <v>153</v>
      </c>
      <c r="B299" s="47" t="s">
        <v>176</v>
      </c>
      <c r="C299" s="47">
        <v>45917</v>
      </c>
      <c r="D299" s="36" t="s">
        <v>149</v>
      </c>
      <c r="E299" s="45" t="s">
        <v>138</v>
      </c>
      <c r="F299" s="5" t="s">
        <v>129</v>
      </c>
      <c r="G299" s="75">
        <v>0</v>
      </c>
      <c r="H299" s="30">
        <f t="shared" si="36"/>
        <v>0</v>
      </c>
      <c r="I299" s="82">
        <f t="shared" si="37"/>
        <v>0</v>
      </c>
      <c r="J299" s="82">
        <f t="shared" si="38"/>
        <v>0</v>
      </c>
      <c r="K299" s="30" t="str">
        <f t="shared" si="39"/>
        <v>MEJORA</v>
      </c>
    </row>
    <row r="300" spans="1:11" x14ac:dyDescent="0.25">
      <c r="A300" s="47" t="s">
        <v>153</v>
      </c>
      <c r="B300" s="47" t="s">
        <v>176</v>
      </c>
      <c r="C300" s="47">
        <v>45917</v>
      </c>
      <c r="D300" s="36" t="s">
        <v>149</v>
      </c>
      <c r="E300" s="45" t="s">
        <v>138</v>
      </c>
      <c r="F300" s="5" t="s">
        <v>31</v>
      </c>
      <c r="G300" s="75">
        <v>0</v>
      </c>
      <c r="H300" s="30">
        <f t="shared" si="36"/>
        <v>0</v>
      </c>
      <c r="I300" s="82">
        <f t="shared" si="37"/>
        <v>0.64687500000000009</v>
      </c>
      <c r="J300" s="82">
        <f t="shared" si="38"/>
        <v>1.5093749999999999</v>
      </c>
      <c r="K300" s="30" t="str">
        <f t="shared" si="39"/>
        <v>MEJORA</v>
      </c>
    </row>
    <row r="301" spans="1:11" x14ac:dyDescent="0.25">
      <c r="A301" s="39" t="s">
        <v>153</v>
      </c>
      <c r="B301" s="39" t="s">
        <v>176</v>
      </c>
      <c r="C301" s="41">
        <v>45917</v>
      </c>
      <c r="D301" s="42"/>
      <c r="E301" s="39" t="s">
        <v>138</v>
      </c>
      <c r="F301" s="42"/>
      <c r="G301" s="79">
        <f>SUM(G272:G300)</f>
        <v>0</v>
      </c>
      <c r="H301" s="44">
        <f>SUM(H272:H300)</f>
        <v>0</v>
      </c>
      <c r="I301" s="79">
        <f t="shared" ref="I301" si="40">SUM(I272:I300)</f>
        <v>17.465625000000006</v>
      </c>
      <c r="J301" s="79">
        <f t="shared" si="38"/>
        <v>40.753124999999997</v>
      </c>
      <c r="K301" s="43" t="str">
        <f t="shared" si="39"/>
        <v>MEJORA</v>
      </c>
    </row>
    <row r="302" spans="1:11" x14ac:dyDescent="0.25">
      <c r="A302" s="47" t="s">
        <v>153</v>
      </c>
      <c r="B302" s="47" t="s">
        <v>177</v>
      </c>
      <c r="C302" s="47">
        <v>45917</v>
      </c>
      <c r="D302" s="35" t="s">
        <v>148</v>
      </c>
      <c r="E302" s="38" t="s">
        <v>138</v>
      </c>
      <c r="F302" s="9" t="s">
        <v>108</v>
      </c>
      <c r="G302" s="75" cm="1">
        <f t="array" ref="G302:G330">TRANSPOSE(DIAGNÓSTICO!P70:AR70)</f>
        <v>0</v>
      </c>
      <c r="H302" s="30">
        <f>IFERROR((G302/$G$331),0)</f>
        <v>0</v>
      </c>
      <c r="I302" s="82">
        <f>I122</f>
        <v>1.2937500000000002</v>
      </c>
      <c r="J302" s="82">
        <f>((G32)-(I122+I212+I302))</f>
        <v>3.0187499999999998</v>
      </c>
      <c r="K302" s="30" t="str">
        <f>IF(G302&lt;=J302,$N$1,IF(G302=G272,$M$1,IF(G302&gt;G272,$O$1,0)))</f>
        <v>MEJORA</v>
      </c>
    </row>
    <row r="303" spans="1:11" x14ac:dyDescent="0.25">
      <c r="A303" s="47" t="s">
        <v>153</v>
      </c>
      <c r="B303" s="47" t="s">
        <v>177</v>
      </c>
      <c r="C303" s="47">
        <v>45917</v>
      </c>
      <c r="D303" s="35" t="s">
        <v>148</v>
      </c>
      <c r="E303" s="38" t="s">
        <v>138</v>
      </c>
      <c r="F303" s="9" t="s">
        <v>109</v>
      </c>
      <c r="G303" s="75">
        <v>0</v>
      </c>
      <c r="H303" s="30">
        <f t="shared" ref="H303:H330" si="41">IFERROR((G303/$G$331),0)</f>
        <v>0</v>
      </c>
      <c r="I303" s="82">
        <f t="shared" ref="I303:I329" si="42">I123</f>
        <v>1.9406250000000003</v>
      </c>
      <c r="J303" s="82">
        <f t="shared" ref="J303:J331" si="43">((G33)-(I123+I213+I303))</f>
        <v>4.5281250000000011</v>
      </c>
      <c r="K303" s="30" t="str">
        <f t="shared" ref="K303:K361" si="44">IF(G303&lt;=J303,$N$1,IF(G303=G273,$M$1,IF(G303&gt;G273,$O$1,0)))</f>
        <v>MEJORA</v>
      </c>
    </row>
    <row r="304" spans="1:11" x14ac:dyDescent="0.25">
      <c r="A304" s="47" t="s">
        <v>153</v>
      </c>
      <c r="B304" s="47" t="s">
        <v>177</v>
      </c>
      <c r="C304" s="47">
        <v>45917</v>
      </c>
      <c r="D304" s="35" t="s">
        <v>148</v>
      </c>
      <c r="E304" s="38" t="s">
        <v>138</v>
      </c>
      <c r="F304" s="9" t="s">
        <v>110</v>
      </c>
      <c r="G304" s="75">
        <v>0</v>
      </c>
      <c r="H304" s="30">
        <f t="shared" si="41"/>
        <v>0</v>
      </c>
      <c r="I304" s="82">
        <f t="shared" si="42"/>
        <v>0.64687500000000009</v>
      </c>
      <c r="J304" s="82">
        <f t="shared" si="43"/>
        <v>1.5093749999999999</v>
      </c>
      <c r="K304" s="30" t="str">
        <f t="shared" si="44"/>
        <v>MEJORA</v>
      </c>
    </row>
    <row r="305" spans="1:11" x14ac:dyDescent="0.25">
      <c r="A305" s="47" t="s">
        <v>153</v>
      </c>
      <c r="B305" s="47" t="s">
        <v>177</v>
      </c>
      <c r="C305" s="47">
        <v>45917</v>
      </c>
      <c r="D305" s="35" t="s">
        <v>148</v>
      </c>
      <c r="E305" s="38" t="s">
        <v>138</v>
      </c>
      <c r="F305" s="9" t="s">
        <v>111</v>
      </c>
      <c r="G305" s="75">
        <v>0</v>
      </c>
      <c r="H305" s="30">
        <f t="shared" si="41"/>
        <v>0</v>
      </c>
      <c r="I305" s="82">
        <f t="shared" si="42"/>
        <v>1.2937500000000002</v>
      </c>
      <c r="J305" s="82">
        <f t="shared" si="43"/>
        <v>3.0187499999999998</v>
      </c>
      <c r="K305" s="30" t="str">
        <f t="shared" si="44"/>
        <v>MEJORA</v>
      </c>
    </row>
    <row r="306" spans="1:11" x14ac:dyDescent="0.25">
      <c r="A306" s="47" t="s">
        <v>153</v>
      </c>
      <c r="B306" s="47" t="s">
        <v>177</v>
      </c>
      <c r="C306" s="47">
        <v>45917</v>
      </c>
      <c r="D306" s="35" t="s">
        <v>148</v>
      </c>
      <c r="E306" s="38" t="s">
        <v>138</v>
      </c>
      <c r="F306" s="9" t="s">
        <v>112</v>
      </c>
      <c r="G306" s="75">
        <v>0</v>
      </c>
      <c r="H306" s="30">
        <f t="shared" si="41"/>
        <v>0</v>
      </c>
      <c r="I306" s="82">
        <f t="shared" si="42"/>
        <v>0.64687500000000009</v>
      </c>
      <c r="J306" s="82">
        <f t="shared" si="43"/>
        <v>1.5093749999999999</v>
      </c>
      <c r="K306" s="30" t="str">
        <f t="shared" si="44"/>
        <v>MEJORA</v>
      </c>
    </row>
    <row r="307" spans="1:11" x14ac:dyDescent="0.25">
      <c r="A307" s="47" t="s">
        <v>153</v>
      </c>
      <c r="B307" s="47" t="s">
        <v>177</v>
      </c>
      <c r="C307" s="47">
        <v>45917</v>
      </c>
      <c r="D307" s="35" t="s">
        <v>148</v>
      </c>
      <c r="E307" s="38" t="s">
        <v>138</v>
      </c>
      <c r="F307" s="9" t="s">
        <v>113</v>
      </c>
      <c r="G307" s="75">
        <v>0</v>
      </c>
      <c r="H307" s="30">
        <f t="shared" si="41"/>
        <v>0</v>
      </c>
      <c r="I307" s="82">
        <f t="shared" si="42"/>
        <v>1.2937500000000002</v>
      </c>
      <c r="J307" s="82">
        <f t="shared" si="43"/>
        <v>3.0187499999999998</v>
      </c>
      <c r="K307" s="30" t="str">
        <f t="shared" si="44"/>
        <v>MEJORA</v>
      </c>
    </row>
    <row r="308" spans="1:11" x14ac:dyDescent="0.25">
      <c r="A308" s="47" t="s">
        <v>153</v>
      </c>
      <c r="B308" s="47" t="s">
        <v>177</v>
      </c>
      <c r="C308" s="47">
        <v>45917</v>
      </c>
      <c r="D308" s="35" t="s">
        <v>148</v>
      </c>
      <c r="E308" s="38" t="s">
        <v>138</v>
      </c>
      <c r="F308" s="9" t="s">
        <v>114</v>
      </c>
      <c r="G308" s="75">
        <v>0</v>
      </c>
      <c r="H308" s="30">
        <f t="shared" si="41"/>
        <v>0</v>
      </c>
      <c r="I308" s="82">
        <f t="shared" si="42"/>
        <v>1.2937500000000002</v>
      </c>
      <c r="J308" s="82">
        <f t="shared" si="43"/>
        <v>3.0187499999999998</v>
      </c>
      <c r="K308" s="30" t="str">
        <f t="shared" si="44"/>
        <v>MEJORA</v>
      </c>
    </row>
    <row r="309" spans="1:11" x14ac:dyDescent="0.25">
      <c r="A309" s="47" t="s">
        <v>153</v>
      </c>
      <c r="B309" s="47" t="s">
        <v>177</v>
      </c>
      <c r="C309" s="47">
        <v>45917</v>
      </c>
      <c r="D309" s="35" t="s">
        <v>148</v>
      </c>
      <c r="E309" s="38" t="s">
        <v>138</v>
      </c>
      <c r="F309" s="9" t="s">
        <v>115</v>
      </c>
      <c r="G309" s="75">
        <v>0</v>
      </c>
      <c r="H309" s="30">
        <f t="shared" si="41"/>
        <v>0</v>
      </c>
      <c r="I309" s="82">
        <f t="shared" si="42"/>
        <v>0.64687500000000009</v>
      </c>
      <c r="J309" s="82">
        <f t="shared" si="43"/>
        <v>1.5093749999999999</v>
      </c>
      <c r="K309" s="30" t="str">
        <f t="shared" si="44"/>
        <v>MEJORA</v>
      </c>
    </row>
    <row r="310" spans="1:11" x14ac:dyDescent="0.25">
      <c r="A310" s="47" t="s">
        <v>153</v>
      </c>
      <c r="B310" s="47" t="s">
        <v>177</v>
      </c>
      <c r="C310" s="47">
        <v>45917</v>
      </c>
      <c r="D310" s="35" t="s">
        <v>148</v>
      </c>
      <c r="E310" s="38" t="s">
        <v>138</v>
      </c>
      <c r="F310" s="9" t="s">
        <v>116</v>
      </c>
      <c r="G310" s="75">
        <v>0</v>
      </c>
      <c r="H310" s="30">
        <f t="shared" si="41"/>
        <v>0</v>
      </c>
      <c r="I310" s="82">
        <f t="shared" si="42"/>
        <v>0.64687500000000009</v>
      </c>
      <c r="J310" s="82">
        <f t="shared" si="43"/>
        <v>1.5093749999999999</v>
      </c>
      <c r="K310" s="30" t="str">
        <f t="shared" si="44"/>
        <v>MEJORA</v>
      </c>
    </row>
    <row r="311" spans="1:11" x14ac:dyDescent="0.25">
      <c r="A311" s="47" t="s">
        <v>153</v>
      </c>
      <c r="B311" s="47" t="s">
        <v>177</v>
      </c>
      <c r="C311" s="47">
        <v>45917</v>
      </c>
      <c r="D311" s="35" t="s">
        <v>148</v>
      </c>
      <c r="E311" s="38" t="s">
        <v>138</v>
      </c>
      <c r="F311" s="9" t="s">
        <v>117</v>
      </c>
      <c r="G311" s="75">
        <v>0</v>
      </c>
      <c r="H311" s="30">
        <f t="shared" si="41"/>
        <v>0</v>
      </c>
      <c r="I311" s="82">
        <f t="shared" si="42"/>
        <v>0.64687500000000009</v>
      </c>
      <c r="J311" s="82">
        <f t="shared" si="43"/>
        <v>1.5093749999999999</v>
      </c>
      <c r="K311" s="30" t="str">
        <f t="shared" si="44"/>
        <v>MEJORA</v>
      </c>
    </row>
    <row r="312" spans="1:11" x14ac:dyDescent="0.25">
      <c r="A312" s="47" t="s">
        <v>153</v>
      </c>
      <c r="B312" s="47" t="s">
        <v>177</v>
      </c>
      <c r="C312" s="47">
        <v>45917</v>
      </c>
      <c r="D312" s="36" t="s">
        <v>62</v>
      </c>
      <c r="E312" s="45" t="s">
        <v>138</v>
      </c>
      <c r="F312" s="5" t="s">
        <v>118</v>
      </c>
      <c r="G312" s="75">
        <v>0</v>
      </c>
      <c r="H312" s="30">
        <f t="shared" si="41"/>
        <v>0</v>
      </c>
      <c r="I312" s="82">
        <f t="shared" si="42"/>
        <v>0</v>
      </c>
      <c r="J312" s="82">
        <f t="shared" si="43"/>
        <v>0</v>
      </c>
      <c r="K312" s="30" t="str">
        <f t="shared" si="44"/>
        <v>MEJORA</v>
      </c>
    </row>
    <row r="313" spans="1:11" x14ac:dyDescent="0.25">
      <c r="A313" s="47" t="s">
        <v>153</v>
      </c>
      <c r="B313" s="47" t="s">
        <v>177</v>
      </c>
      <c r="C313" s="47">
        <v>45917</v>
      </c>
      <c r="D313" s="36" t="s">
        <v>62</v>
      </c>
      <c r="E313" s="45" t="s">
        <v>138</v>
      </c>
      <c r="F313" s="5" t="s">
        <v>24</v>
      </c>
      <c r="G313" s="75">
        <v>0</v>
      </c>
      <c r="H313" s="30">
        <f t="shared" si="41"/>
        <v>0</v>
      </c>
      <c r="I313" s="82">
        <f t="shared" si="42"/>
        <v>0</v>
      </c>
      <c r="J313" s="82">
        <f t="shared" si="43"/>
        <v>0</v>
      </c>
      <c r="K313" s="30" t="str">
        <f t="shared" si="44"/>
        <v>MEJORA</v>
      </c>
    </row>
    <row r="314" spans="1:11" x14ac:dyDescent="0.25">
      <c r="A314" s="47" t="s">
        <v>153</v>
      </c>
      <c r="B314" s="47" t="s">
        <v>177</v>
      </c>
      <c r="C314" s="47">
        <v>45917</v>
      </c>
      <c r="D314" s="36" t="s">
        <v>62</v>
      </c>
      <c r="E314" s="45" t="s">
        <v>138</v>
      </c>
      <c r="F314" s="5" t="s">
        <v>25</v>
      </c>
      <c r="G314" s="75">
        <v>0</v>
      </c>
      <c r="H314" s="30">
        <f t="shared" si="41"/>
        <v>0</v>
      </c>
      <c r="I314" s="82">
        <f t="shared" si="42"/>
        <v>0</v>
      </c>
      <c r="J314" s="82">
        <f t="shared" si="43"/>
        <v>0</v>
      </c>
      <c r="K314" s="30" t="str">
        <f t="shared" si="44"/>
        <v>MEJORA</v>
      </c>
    </row>
    <row r="315" spans="1:11" x14ac:dyDescent="0.25">
      <c r="A315" s="47" t="s">
        <v>153</v>
      </c>
      <c r="B315" s="47" t="s">
        <v>177</v>
      </c>
      <c r="C315" s="47">
        <v>45917</v>
      </c>
      <c r="D315" s="36" t="s">
        <v>62</v>
      </c>
      <c r="E315" s="45" t="s">
        <v>138</v>
      </c>
      <c r="F315" s="5" t="s">
        <v>26</v>
      </c>
      <c r="G315" s="75">
        <v>0</v>
      </c>
      <c r="H315" s="30">
        <f t="shared" si="41"/>
        <v>0</v>
      </c>
      <c r="I315" s="82">
        <f t="shared" si="42"/>
        <v>0</v>
      </c>
      <c r="J315" s="82">
        <f t="shared" si="43"/>
        <v>0</v>
      </c>
      <c r="K315" s="30" t="str">
        <f t="shared" si="44"/>
        <v>MEJORA</v>
      </c>
    </row>
    <row r="316" spans="1:11" x14ac:dyDescent="0.25">
      <c r="A316" s="47" t="s">
        <v>153</v>
      </c>
      <c r="B316" s="47" t="s">
        <v>177</v>
      </c>
      <c r="C316" s="47">
        <v>45917</v>
      </c>
      <c r="D316" s="36" t="s">
        <v>62</v>
      </c>
      <c r="E316" s="45" t="s">
        <v>138</v>
      </c>
      <c r="F316" s="5" t="s">
        <v>27</v>
      </c>
      <c r="G316" s="75">
        <v>0</v>
      </c>
      <c r="H316" s="30">
        <f t="shared" si="41"/>
        <v>0</v>
      </c>
      <c r="I316" s="82">
        <f t="shared" si="42"/>
        <v>0</v>
      </c>
      <c r="J316" s="82">
        <f t="shared" si="43"/>
        <v>0</v>
      </c>
      <c r="K316" s="30" t="str">
        <f t="shared" si="44"/>
        <v>MEJORA</v>
      </c>
    </row>
    <row r="317" spans="1:11" x14ac:dyDescent="0.25">
      <c r="A317" s="47" t="s">
        <v>153</v>
      </c>
      <c r="B317" s="47" t="s">
        <v>177</v>
      </c>
      <c r="C317" s="47">
        <v>45917</v>
      </c>
      <c r="D317" s="36" t="s">
        <v>62</v>
      </c>
      <c r="E317" s="45" t="s">
        <v>138</v>
      </c>
      <c r="F317" s="5" t="s">
        <v>28</v>
      </c>
      <c r="G317" s="75">
        <v>0</v>
      </c>
      <c r="H317" s="30">
        <f t="shared" si="41"/>
        <v>0</v>
      </c>
      <c r="I317" s="82">
        <f t="shared" si="42"/>
        <v>0.64687500000000009</v>
      </c>
      <c r="J317" s="82">
        <f t="shared" si="43"/>
        <v>1.5093749999999999</v>
      </c>
      <c r="K317" s="30" t="str">
        <f t="shared" si="44"/>
        <v>MEJORA</v>
      </c>
    </row>
    <row r="318" spans="1:11" x14ac:dyDescent="0.25">
      <c r="A318" s="47" t="s">
        <v>153</v>
      </c>
      <c r="B318" s="47" t="s">
        <v>177</v>
      </c>
      <c r="C318" s="47">
        <v>45917</v>
      </c>
      <c r="D318" s="36" t="s">
        <v>62</v>
      </c>
      <c r="E318" s="45" t="s">
        <v>138</v>
      </c>
      <c r="F318" s="5" t="s">
        <v>119</v>
      </c>
      <c r="G318" s="75">
        <v>0</v>
      </c>
      <c r="H318" s="30">
        <f t="shared" si="41"/>
        <v>0</v>
      </c>
      <c r="I318" s="82">
        <f t="shared" si="42"/>
        <v>0</v>
      </c>
      <c r="J318" s="82">
        <f t="shared" si="43"/>
        <v>0</v>
      </c>
      <c r="K318" s="30" t="str">
        <f t="shared" si="44"/>
        <v>MEJORA</v>
      </c>
    </row>
    <row r="319" spans="1:11" x14ac:dyDescent="0.25">
      <c r="A319" s="47" t="s">
        <v>153</v>
      </c>
      <c r="B319" s="47" t="s">
        <v>177</v>
      </c>
      <c r="C319" s="47">
        <v>45917</v>
      </c>
      <c r="D319" s="36" t="s">
        <v>62</v>
      </c>
      <c r="E319" s="45" t="s">
        <v>138</v>
      </c>
      <c r="F319" s="5" t="s">
        <v>120</v>
      </c>
      <c r="G319" s="75">
        <v>0</v>
      </c>
      <c r="H319" s="30">
        <f t="shared" si="41"/>
        <v>0</v>
      </c>
      <c r="I319" s="82">
        <f t="shared" si="42"/>
        <v>0</v>
      </c>
      <c r="J319" s="82">
        <f t="shared" si="43"/>
        <v>0</v>
      </c>
      <c r="K319" s="30" t="str">
        <f t="shared" si="44"/>
        <v>MEJORA</v>
      </c>
    </row>
    <row r="320" spans="1:11" x14ac:dyDescent="0.25">
      <c r="A320" s="47" t="s">
        <v>153</v>
      </c>
      <c r="B320" s="47" t="s">
        <v>177</v>
      </c>
      <c r="C320" s="47">
        <v>45917</v>
      </c>
      <c r="D320" s="36" t="s">
        <v>62</v>
      </c>
      <c r="E320" s="45" t="s">
        <v>138</v>
      </c>
      <c r="F320" s="5" t="s">
        <v>121</v>
      </c>
      <c r="G320" s="75">
        <v>0</v>
      </c>
      <c r="H320" s="30">
        <f t="shared" si="41"/>
        <v>0</v>
      </c>
      <c r="I320" s="82">
        <f t="shared" si="42"/>
        <v>0</v>
      </c>
      <c r="J320" s="82">
        <f t="shared" si="43"/>
        <v>0</v>
      </c>
      <c r="K320" s="30" t="str">
        <f t="shared" si="44"/>
        <v>MEJORA</v>
      </c>
    </row>
    <row r="321" spans="1:11" x14ac:dyDescent="0.25">
      <c r="A321" s="47" t="s">
        <v>153</v>
      </c>
      <c r="B321" s="47" t="s">
        <v>177</v>
      </c>
      <c r="C321" s="47">
        <v>45917</v>
      </c>
      <c r="D321" s="36" t="s">
        <v>62</v>
      </c>
      <c r="E321" s="45" t="s">
        <v>138</v>
      </c>
      <c r="F321" s="5" t="s">
        <v>122</v>
      </c>
      <c r="G321" s="75">
        <v>0</v>
      </c>
      <c r="H321" s="30">
        <f t="shared" si="41"/>
        <v>0</v>
      </c>
      <c r="I321" s="82">
        <f t="shared" si="42"/>
        <v>0</v>
      </c>
      <c r="J321" s="82">
        <f t="shared" si="43"/>
        <v>0</v>
      </c>
      <c r="K321" s="30" t="str">
        <f t="shared" si="44"/>
        <v>MEJORA</v>
      </c>
    </row>
    <row r="322" spans="1:11" x14ac:dyDescent="0.25">
      <c r="A322" s="47" t="s">
        <v>153</v>
      </c>
      <c r="B322" s="47" t="s">
        <v>177</v>
      </c>
      <c r="C322" s="47">
        <v>45917</v>
      </c>
      <c r="D322" s="48" t="s">
        <v>150</v>
      </c>
      <c r="E322" s="46" t="s">
        <v>138</v>
      </c>
      <c r="F322" s="10" t="s">
        <v>123</v>
      </c>
      <c r="G322" s="75">
        <v>0</v>
      </c>
      <c r="H322" s="30">
        <f t="shared" si="41"/>
        <v>0</v>
      </c>
      <c r="I322" s="82">
        <f t="shared" si="42"/>
        <v>1.2937500000000002</v>
      </c>
      <c r="J322" s="82">
        <f t="shared" si="43"/>
        <v>3.0187499999999998</v>
      </c>
      <c r="K322" s="30" t="str">
        <f t="shared" si="44"/>
        <v>MEJORA</v>
      </c>
    </row>
    <row r="323" spans="1:11" x14ac:dyDescent="0.25">
      <c r="A323" s="47" t="s">
        <v>153</v>
      </c>
      <c r="B323" s="47" t="s">
        <v>177</v>
      </c>
      <c r="C323" s="47">
        <v>45917</v>
      </c>
      <c r="D323" s="48" t="s">
        <v>150</v>
      </c>
      <c r="E323" s="46" t="s">
        <v>138</v>
      </c>
      <c r="F323" s="10" t="s">
        <v>124</v>
      </c>
      <c r="G323" s="75">
        <v>0</v>
      </c>
      <c r="H323" s="30">
        <f t="shared" si="41"/>
        <v>0</v>
      </c>
      <c r="I323" s="82">
        <f t="shared" si="42"/>
        <v>0</v>
      </c>
      <c r="J323" s="82">
        <f t="shared" si="43"/>
        <v>0</v>
      </c>
      <c r="K323" s="30" t="str">
        <f t="shared" si="44"/>
        <v>MEJORA</v>
      </c>
    </row>
    <row r="324" spans="1:11" x14ac:dyDescent="0.25">
      <c r="A324" s="47" t="s">
        <v>153</v>
      </c>
      <c r="B324" s="47" t="s">
        <v>177</v>
      </c>
      <c r="C324" s="47">
        <v>45917</v>
      </c>
      <c r="D324" s="48" t="s">
        <v>150</v>
      </c>
      <c r="E324" s="46" t="s">
        <v>138</v>
      </c>
      <c r="F324" s="10" t="s">
        <v>125</v>
      </c>
      <c r="G324" s="75">
        <v>0</v>
      </c>
      <c r="H324" s="30">
        <f t="shared" si="41"/>
        <v>0</v>
      </c>
      <c r="I324" s="82">
        <f t="shared" si="42"/>
        <v>0</v>
      </c>
      <c r="J324" s="82">
        <f t="shared" si="43"/>
        <v>0</v>
      </c>
      <c r="K324" s="30" t="str">
        <f t="shared" si="44"/>
        <v>MEJORA</v>
      </c>
    </row>
    <row r="325" spans="1:11" x14ac:dyDescent="0.25">
      <c r="A325" s="47" t="s">
        <v>153</v>
      </c>
      <c r="B325" s="47" t="s">
        <v>177</v>
      </c>
      <c r="C325" s="47">
        <v>45917</v>
      </c>
      <c r="D325" s="48" t="s">
        <v>150</v>
      </c>
      <c r="E325" s="46" t="s">
        <v>138</v>
      </c>
      <c r="F325" s="10" t="s">
        <v>126</v>
      </c>
      <c r="G325" s="75">
        <v>0</v>
      </c>
      <c r="H325" s="30">
        <f t="shared" si="41"/>
        <v>0</v>
      </c>
      <c r="I325" s="82">
        <f t="shared" si="42"/>
        <v>0</v>
      </c>
      <c r="J325" s="82">
        <f t="shared" si="43"/>
        <v>0</v>
      </c>
      <c r="K325" s="30" t="str">
        <f t="shared" si="44"/>
        <v>MEJORA</v>
      </c>
    </row>
    <row r="326" spans="1:11" x14ac:dyDescent="0.25">
      <c r="A326" s="47" t="s">
        <v>153</v>
      </c>
      <c r="B326" s="47" t="s">
        <v>177</v>
      </c>
      <c r="C326" s="47">
        <v>45917</v>
      </c>
      <c r="D326" s="48" t="s">
        <v>150</v>
      </c>
      <c r="E326" s="46" t="s">
        <v>138</v>
      </c>
      <c r="F326" s="10" t="s">
        <v>127</v>
      </c>
      <c r="G326" s="75">
        <v>0</v>
      </c>
      <c r="H326" s="30">
        <f t="shared" si="41"/>
        <v>0</v>
      </c>
      <c r="I326" s="82">
        <f t="shared" si="42"/>
        <v>0</v>
      </c>
      <c r="J326" s="82">
        <f t="shared" si="43"/>
        <v>0</v>
      </c>
      <c r="K326" s="30" t="str">
        <f t="shared" si="44"/>
        <v>MEJORA</v>
      </c>
    </row>
    <row r="327" spans="1:11" x14ac:dyDescent="0.25">
      <c r="A327" s="47" t="s">
        <v>153</v>
      </c>
      <c r="B327" s="47" t="s">
        <v>177</v>
      </c>
      <c r="C327" s="47">
        <v>45917</v>
      </c>
      <c r="D327" s="48" t="s">
        <v>150</v>
      </c>
      <c r="E327" s="46" t="s">
        <v>138</v>
      </c>
      <c r="F327" s="10" t="s">
        <v>30</v>
      </c>
      <c r="G327" s="75">
        <v>0</v>
      </c>
      <c r="H327" s="30">
        <f t="shared" si="41"/>
        <v>0</v>
      </c>
      <c r="I327" s="82">
        <f t="shared" si="42"/>
        <v>0</v>
      </c>
      <c r="J327" s="82">
        <f t="shared" si="43"/>
        <v>0</v>
      </c>
      <c r="K327" s="30" t="str">
        <f t="shared" si="44"/>
        <v>MEJORA</v>
      </c>
    </row>
    <row r="328" spans="1:11" x14ac:dyDescent="0.25">
      <c r="A328" s="47" t="s">
        <v>153</v>
      </c>
      <c r="B328" s="47" t="s">
        <v>177</v>
      </c>
      <c r="C328" s="47">
        <v>45917</v>
      </c>
      <c r="D328" s="36" t="s">
        <v>149</v>
      </c>
      <c r="E328" s="45" t="s">
        <v>138</v>
      </c>
      <c r="F328" s="5" t="s">
        <v>128</v>
      </c>
      <c r="G328" s="75">
        <v>0</v>
      </c>
      <c r="H328" s="30">
        <f t="shared" si="41"/>
        <v>0</v>
      </c>
      <c r="I328" s="82">
        <f t="shared" si="42"/>
        <v>0</v>
      </c>
      <c r="J328" s="82">
        <f t="shared" si="43"/>
        <v>0</v>
      </c>
      <c r="K328" s="30" t="str">
        <f t="shared" si="44"/>
        <v>MEJORA</v>
      </c>
    </row>
    <row r="329" spans="1:11" x14ac:dyDescent="0.25">
      <c r="A329" s="47" t="s">
        <v>153</v>
      </c>
      <c r="B329" s="47" t="s">
        <v>177</v>
      </c>
      <c r="C329" s="47">
        <v>45917</v>
      </c>
      <c r="D329" s="36" t="s">
        <v>149</v>
      </c>
      <c r="E329" s="45" t="s">
        <v>138</v>
      </c>
      <c r="F329" s="5" t="s">
        <v>129</v>
      </c>
      <c r="G329" s="75">
        <v>0</v>
      </c>
      <c r="H329" s="30">
        <f t="shared" si="41"/>
        <v>0</v>
      </c>
      <c r="I329" s="82">
        <f t="shared" si="42"/>
        <v>0</v>
      </c>
      <c r="J329" s="82">
        <f t="shared" si="43"/>
        <v>0</v>
      </c>
      <c r="K329" s="30" t="str">
        <f t="shared" si="44"/>
        <v>MEJORA</v>
      </c>
    </row>
    <row r="330" spans="1:11" x14ac:dyDescent="0.25">
      <c r="A330" s="47" t="s">
        <v>153</v>
      </c>
      <c r="B330" s="47" t="s">
        <v>177</v>
      </c>
      <c r="C330" s="47">
        <v>45917</v>
      </c>
      <c r="D330" s="36" t="s">
        <v>149</v>
      </c>
      <c r="E330" s="45" t="s">
        <v>138</v>
      </c>
      <c r="F330" s="5" t="s">
        <v>31</v>
      </c>
      <c r="G330" s="75">
        <v>0</v>
      </c>
      <c r="H330" s="30">
        <f t="shared" si="41"/>
        <v>0</v>
      </c>
      <c r="I330" s="82">
        <f>I150</f>
        <v>0</v>
      </c>
      <c r="J330" s="82">
        <f t="shared" si="43"/>
        <v>0</v>
      </c>
      <c r="K330" s="30" t="str">
        <f t="shared" si="44"/>
        <v>MEJORA</v>
      </c>
    </row>
    <row r="331" spans="1:11" x14ac:dyDescent="0.25">
      <c r="A331" s="39" t="s">
        <v>153</v>
      </c>
      <c r="B331" s="39" t="s">
        <v>177</v>
      </c>
      <c r="C331" s="41">
        <v>45917</v>
      </c>
      <c r="D331" s="42"/>
      <c r="E331" s="39" t="s">
        <v>138</v>
      </c>
      <c r="F331" s="42"/>
      <c r="G331" s="79">
        <f>SUM(G302:G330)</f>
        <v>0</v>
      </c>
      <c r="H331" s="44">
        <f>SUM(H302:H330)</f>
        <v>0</v>
      </c>
      <c r="I331" s="83">
        <f>SUM(I302:I330)</f>
        <v>12.290624999999999</v>
      </c>
      <c r="J331" s="83">
        <f t="shared" si="43"/>
        <v>28.678125000000016</v>
      </c>
      <c r="K331" s="30" t="str">
        <f t="shared" si="44"/>
        <v>MEJORA</v>
      </c>
    </row>
    <row r="332" spans="1:11" x14ac:dyDescent="0.25">
      <c r="A332" s="47" t="s">
        <v>153</v>
      </c>
      <c r="B332" s="47" t="s">
        <v>178</v>
      </c>
      <c r="C332" s="47">
        <v>45917</v>
      </c>
      <c r="D332" s="35" t="s">
        <v>148</v>
      </c>
      <c r="E332" s="38" t="s">
        <v>138</v>
      </c>
      <c r="F332" s="9" t="s">
        <v>108</v>
      </c>
      <c r="G332" s="75" cm="1">
        <f t="array" ref="G332:G360">TRANSPOSE(DIAGNÓSTICO!P76:AR76)</f>
        <v>0</v>
      </c>
      <c r="H332" s="30">
        <f>IFERROR((G332/$G$361),0)</f>
        <v>0</v>
      </c>
      <c r="I332" s="82">
        <f>I152</f>
        <v>0.64687500000000009</v>
      </c>
      <c r="J332" s="82">
        <f>((G62)-(I152+I242+I332))</f>
        <v>1.5093749999999999</v>
      </c>
      <c r="K332" s="30" t="str">
        <f t="shared" si="44"/>
        <v>MEJORA</v>
      </c>
    </row>
    <row r="333" spans="1:11" x14ac:dyDescent="0.25">
      <c r="A333" s="47" t="s">
        <v>153</v>
      </c>
      <c r="B333" s="47" t="s">
        <v>178</v>
      </c>
      <c r="C333" s="47">
        <v>45917</v>
      </c>
      <c r="D333" s="35" t="s">
        <v>148</v>
      </c>
      <c r="E333" s="38" t="s">
        <v>138</v>
      </c>
      <c r="F333" s="9" t="s">
        <v>109</v>
      </c>
      <c r="G333" s="75">
        <v>0</v>
      </c>
      <c r="H333" s="30">
        <f t="shared" ref="H333:H360" si="45">IFERROR((G333/$G$361),0)</f>
        <v>0</v>
      </c>
      <c r="I333" s="82">
        <f t="shared" ref="I333:I360" si="46">I153</f>
        <v>0.64687500000000009</v>
      </c>
      <c r="J333" s="82">
        <f t="shared" ref="J333:J360" si="47">((G63)-(I153+I243+I333))</f>
        <v>1.5093749999999999</v>
      </c>
      <c r="K333" s="30" t="str">
        <f t="shared" si="44"/>
        <v>MEJORA</v>
      </c>
    </row>
    <row r="334" spans="1:11" x14ac:dyDescent="0.25">
      <c r="A334" s="47" t="s">
        <v>153</v>
      </c>
      <c r="B334" s="47" t="s">
        <v>178</v>
      </c>
      <c r="C334" s="47">
        <v>45917</v>
      </c>
      <c r="D334" s="35" t="s">
        <v>148</v>
      </c>
      <c r="E334" s="38" t="s">
        <v>138</v>
      </c>
      <c r="F334" s="9" t="s">
        <v>110</v>
      </c>
      <c r="G334" s="75">
        <v>0</v>
      </c>
      <c r="H334" s="30">
        <f t="shared" si="45"/>
        <v>0</v>
      </c>
      <c r="I334" s="82">
        <f t="shared" si="46"/>
        <v>1.9406250000000003</v>
      </c>
      <c r="J334" s="82">
        <f t="shared" si="47"/>
        <v>4.5281250000000011</v>
      </c>
      <c r="K334" s="30" t="str">
        <f t="shared" si="44"/>
        <v>MEJORA</v>
      </c>
    </row>
    <row r="335" spans="1:11" x14ac:dyDescent="0.25">
      <c r="A335" s="47" t="s">
        <v>153</v>
      </c>
      <c r="B335" s="47" t="s">
        <v>178</v>
      </c>
      <c r="C335" s="47">
        <v>45917</v>
      </c>
      <c r="D335" s="35" t="s">
        <v>148</v>
      </c>
      <c r="E335" s="38" t="s">
        <v>138</v>
      </c>
      <c r="F335" s="9" t="s">
        <v>111</v>
      </c>
      <c r="G335" s="75">
        <v>0</v>
      </c>
      <c r="H335" s="30">
        <f t="shared" si="45"/>
        <v>0</v>
      </c>
      <c r="I335" s="82">
        <f t="shared" si="46"/>
        <v>1.2937500000000002</v>
      </c>
      <c r="J335" s="82">
        <f t="shared" si="47"/>
        <v>3.0187499999999998</v>
      </c>
      <c r="K335" s="30" t="str">
        <f t="shared" si="44"/>
        <v>MEJORA</v>
      </c>
    </row>
    <row r="336" spans="1:11" x14ac:dyDescent="0.25">
      <c r="A336" s="47" t="s">
        <v>153</v>
      </c>
      <c r="B336" s="47" t="s">
        <v>178</v>
      </c>
      <c r="C336" s="47">
        <v>45917</v>
      </c>
      <c r="D336" s="35" t="s">
        <v>148</v>
      </c>
      <c r="E336" s="38" t="s">
        <v>138</v>
      </c>
      <c r="F336" s="9" t="s">
        <v>112</v>
      </c>
      <c r="G336" s="75">
        <v>0</v>
      </c>
      <c r="H336" s="30">
        <f t="shared" si="45"/>
        <v>0</v>
      </c>
      <c r="I336" s="82">
        <f t="shared" si="46"/>
        <v>1.9406250000000003</v>
      </c>
      <c r="J336" s="82">
        <f t="shared" si="47"/>
        <v>4.5281250000000011</v>
      </c>
      <c r="K336" s="30" t="str">
        <f t="shared" si="44"/>
        <v>MEJORA</v>
      </c>
    </row>
    <row r="337" spans="1:11" x14ac:dyDescent="0.25">
      <c r="A337" s="47" t="s">
        <v>153</v>
      </c>
      <c r="B337" s="47" t="s">
        <v>178</v>
      </c>
      <c r="C337" s="47">
        <v>45917</v>
      </c>
      <c r="D337" s="35" t="s">
        <v>148</v>
      </c>
      <c r="E337" s="38" t="s">
        <v>138</v>
      </c>
      <c r="F337" s="9" t="s">
        <v>113</v>
      </c>
      <c r="G337" s="75">
        <v>0</v>
      </c>
      <c r="H337" s="30">
        <f t="shared" si="45"/>
        <v>0</v>
      </c>
      <c r="I337" s="82">
        <f t="shared" si="46"/>
        <v>1.9406250000000003</v>
      </c>
      <c r="J337" s="82">
        <f t="shared" si="47"/>
        <v>4.5281250000000011</v>
      </c>
      <c r="K337" s="30" t="str">
        <f t="shared" si="44"/>
        <v>MEJORA</v>
      </c>
    </row>
    <row r="338" spans="1:11" x14ac:dyDescent="0.25">
      <c r="A338" s="47" t="s">
        <v>153</v>
      </c>
      <c r="B338" s="47" t="s">
        <v>178</v>
      </c>
      <c r="C338" s="47">
        <v>45917</v>
      </c>
      <c r="D338" s="35" t="s">
        <v>148</v>
      </c>
      <c r="E338" s="38" t="s">
        <v>138</v>
      </c>
      <c r="F338" s="9" t="s">
        <v>114</v>
      </c>
      <c r="G338" s="75">
        <v>0</v>
      </c>
      <c r="H338" s="30">
        <f t="shared" si="45"/>
        <v>0</v>
      </c>
      <c r="I338" s="82">
        <f t="shared" si="46"/>
        <v>1.9406250000000003</v>
      </c>
      <c r="J338" s="82">
        <f t="shared" si="47"/>
        <v>4.5281250000000011</v>
      </c>
      <c r="K338" s="30" t="str">
        <f t="shared" si="44"/>
        <v>MEJORA</v>
      </c>
    </row>
    <row r="339" spans="1:11" x14ac:dyDescent="0.25">
      <c r="A339" s="47" t="s">
        <v>153</v>
      </c>
      <c r="B339" s="47" t="s">
        <v>178</v>
      </c>
      <c r="C339" s="47">
        <v>45917</v>
      </c>
      <c r="D339" s="35" t="s">
        <v>148</v>
      </c>
      <c r="E339" s="38" t="s">
        <v>138</v>
      </c>
      <c r="F339" s="9" t="s">
        <v>115</v>
      </c>
      <c r="G339" s="75">
        <v>0</v>
      </c>
      <c r="H339" s="30">
        <f t="shared" si="45"/>
        <v>0</v>
      </c>
      <c r="I339" s="82">
        <f t="shared" si="46"/>
        <v>0</v>
      </c>
      <c r="J339" s="82">
        <f t="shared" si="47"/>
        <v>0</v>
      </c>
      <c r="K339" s="30" t="str">
        <f t="shared" si="44"/>
        <v>MEJORA</v>
      </c>
    </row>
    <row r="340" spans="1:11" x14ac:dyDescent="0.25">
      <c r="A340" s="47" t="s">
        <v>153</v>
      </c>
      <c r="B340" s="47" t="s">
        <v>178</v>
      </c>
      <c r="C340" s="47">
        <v>45917</v>
      </c>
      <c r="D340" s="35" t="s">
        <v>148</v>
      </c>
      <c r="E340" s="38" t="s">
        <v>138</v>
      </c>
      <c r="F340" s="9" t="s">
        <v>116</v>
      </c>
      <c r="G340" s="75">
        <v>0</v>
      </c>
      <c r="H340" s="30">
        <f t="shared" si="45"/>
        <v>0</v>
      </c>
      <c r="I340" s="82">
        <f t="shared" si="46"/>
        <v>0</v>
      </c>
      <c r="J340" s="82">
        <f t="shared" si="47"/>
        <v>0</v>
      </c>
      <c r="K340" s="30" t="str">
        <f t="shared" si="44"/>
        <v>MEJORA</v>
      </c>
    </row>
    <row r="341" spans="1:11" x14ac:dyDescent="0.25">
      <c r="A341" s="47" t="s">
        <v>153</v>
      </c>
      <c r="B341" s="47" t="s">
        <v>178</v>
      </c>
      <c r="C341" s="47">
        <v>45917</v>
      </c>
      <c r="D341" s="35" t="s">
        <v>148</v>
      </c>
      <c r="E341" s="38" t="s">
        <v>138</v>
      </c>
      <c r="F341" s="9" t="s">
        <v>117</v>
      </c>
      <c r="G341" s="75">
        <v>0</v>
      </c>
      <c r="H341" s="30">
        <f t="shared" si="45"/>
        <v>0</v>
      </c>
      <c r="I341" s="82">
        <f t="shared" si="46"/>
        <v>0</v>
      </c>
      <c r="J341" s="82">
        <f t="shared" si="47"/>
        <v>0</v>
      </c>
      <c r="K341" s="30" t="str">
        <f t="shared" si="44"/>
        <v>MEJORA</v>
      </c>
    </row>
    <row r="342" spans="1:11" x14ac:dyDescent="0.25">
      <c r="A342" s="47" t="s">
        <v>153</v>
      </c>
      <c r="B342" s="47" t="s">
        <v>178</v>
      </c>
      <c r="C342" s="47">
        <v>45917</v>
      </c>
      <c r="D342" s="36" t="s">
        <v>62</v>
      </c>
      <c r="E342" s="45" t="s">
        <v>138</v>
      </c>
      <c r="F342" s="5" t="s">
        <v>118</v>
      </c>
      <c r="G342" s="75">
        <v>0</v>
      </c>
      <c r="H342" s="30">
        <f t="shared" si="45"/>
        <v>0</v>
      </c>
      <c r="I342" s="82">
        <f t="shared" si="46"/>
        <v>0.64687500000000009</v>
      </c>
      <c r="J342" s="82">
        <f t="shared" si="47"/>
        <v>1.5093749999999999</v>
      </c>
      <c r="K342" s="30" t="str">
        <f t="shared" si="44"/>
        <v>MEJORA</v>
      </c>
    </row>
    <row r="343" spans="1:11" x14ac:dyDescent="0.25">
      <c r="A343" s="47" t="s">
        <v>153</v>
      </c>
      <c r="B343" s="47" t="s">
        <v>178</v>
      </c>
      <c r="C343" s="47">
        <v>45917</v>
      </c>
      <c r="D343" s="36" t="s">
        <v>62</v>
      </c>
      <c r="E343" s="45" t="s">
        <v>138</v>
      </c>
      <c r="F343" s="5" t="s">
        <v>24</v>
      </c>
      <c r="G343" s="75">
        <v>0</v>
      </c>
      <c r="H343" s="30">
        <f t="shared" si="45"/>
        <v>0</v>
      </c>
      <c r="I343" s="82">
        <f t="shared" si="46"/>
        <v>0.64687500000000009</v>
      </c>
      <c r="J343" s="82">
        <f t="shared" si="47"/>
        <v>1.5093749999999999</v>
      </c>
      <c r="K343" s="30" t="str">
        <f t="shared" si="44"/>
        <v>MEJORA</v>
      </c>
    </row>
    <row r="344" spans="1:11" x14ac:dyDescent="0.25">
      <c r="A344" s="47" t="s">
        <v>153</v>
      </c>
      <c r="B344" s="47" t="s">
        <v>178</v>
      </c>
      <c r="C344" s="47">
        <v>45917</v>
      </c>
      <c r="D344" s="36" t="s">
        <v>62</v>
      </c>
      <c r="E344" s="45" t="s">
        <v>138</v>
      </c>
      <c r="F344" s="5" t="s">
        <v>25</v>
      </c>
      <c r="G344" s="75">
        <v>0</v>
      </c>
      <c r="H344" s="30">
        <f t="shared" si="45"/>
        <v>0</v>
      </c>
      <c r="I344" s="82">
        <f t="shared" si="46"/>
        <v>0</v>
      </c>
      <c r="J344" s="82">
        <f t="shared" si="47"/>
        <v>0</v>
      </c>
      <c r="K344" s="30" t="str">
        <f t="shared" si="44"/>
        <v>MEJORA</v>
      </c>
    </row>
    <row r="345" spans="1:11" x14ac:dyDescent="0.25">
      <c r="A345" s="47" t="s">
        <v>153</v>
      </c>
      <c r="B345" s="47" t="s">
        <v>178</v>
      </c>
      <c r="C345" s="47">
        <v>45917</v>
      </c>
      <c r="D345" s="36" t="s">
        <v>62</v>
      </c>
      <c r="E345" s="45" t="s">
        <v>138</v>
      </c>
      <c r="F345" s="5" t="s">
        <v>26</v>
      </c>
      <c r="G345" s="75">
        <v>0</v>
      </c>
      <c r="H345" s="30">
        <f t="shared" si="45"/>
        <v>0</v>
      </c>
      <c r="I345" s="82">
        <f t="shared" si="46"/>
        <v>0.64687500000000009</v>
      </c>
      <c r="J345" s="82">
        <f t="shared" si="47"/>
        <v>1.5093749999999999</v>
      </c>
      <c r="K345" s="30" t="str">
        <f t="shared" si="44"/>
        <v>MEJORA</v>
      </c>
    </row>
    <row r="346" spans="1:11" x14ac:dyDescent="0.25">
      <c r="A346" s="47" t="s">
        <v>153</v>
      </c>
      <c r="B346" s="47" t="s">
        <v>178</v>
      </c>
      <c r="C346" s="47">
        <v>45917</v>
      </c>
      <c r="D346" s="36" t="s">
        <v>62</v>
      </c>
      <c r="E346" s="45" t="s">
        <v>138</v>
      </c>
      <c r="F346" s="5" t="s">
        <v>27</v>
      </c>
      <c r="G346" s="75">
        <v>0</v>
      </c>
      <c r="H346" s="30">
        <f t="shared" si="45"/>
        <v>0</v>
      </c>
      <c r="I346" s="82">
        <f t="shared" si="46"/>
        <v>0</v>
      </c>
      <c r="J346" s="82">
        <f t="shared" si="47"/>
        <v>0</v>
      </c>
      <c r="K346" s="30" t="str">
        <f t="shared" si="44"/>
        <v>MEJORA</v>
      </c>
    </row>
    <row r="347" spans="1:11" x14ac:dyDescent="0.25">
      <c r="A347" s="47" t="s">
        <v>153</v>
      </c>
      <c r="B347" s="47" t="s">
        <v>178</v>
      </c>
      <c r="C347" s="47">
        <v>45917</v>
      </c>
      <c r="D347" s="36" t="s">
        <v>62</v>
      </c>
      <c r="E347" s="45" t="s">
        <v>138</v>
      </c>
      <c r="F347" s="5" t="s">
        <v>28</v>
      </c>
      <c r="G347" s="75">
        <v>0</v>
      </c>
      <c r="H347" s="30">
        <f t="shared" si="45"/>
        <v>0</v>
      </c>
      <c r="I347" s="82">
        <f t="shared" si="46"/>
        <v>1.2937500000000002</v>
      </c>
      <c r="J347" s="82">
        <f t="shared" si="47"/>
        <v>3.0187499999999998</v>
      </c>
      <c r="K347" s="30" t="str">
        <f t="shared" si="44"/>
        <v>MEJORA</v>
      </c>
    </row>
    <row r="348" spans="1:11" x14ac:dyDescent="0.25">
      <c r="A348" s="47" t="s">
        <v>153</v>
      </c>
      <c r="B348" s="47" t="s">
        <v>178</v>
      </c>
      <c r="C348" s="47">
        <v>45917</v>
      </c>
      <c r="D348" s="36" t="s">
        <v>62</v>
      </c>
      <c r="E348" s="45" t="s">
        <v>138</v>
      </c>
      <c r="F348" s="5" t="s">
        <v>119</v>
      </c>
      <c r="G348" s="75">
        <v>0</v>
      </c>
      <c r="H348" s="30">
        <f t="shared" si="45"/>
        <v>0</v>
      </c>
      <c r="I348" s="82">
        <f t="shared" si="46"/>
        <v>1.9406250000000003</v>
      </c>
      <c r="J348" s="82">
        <f t="shared" si="47"/>
        <v>4.5281250000000011</v>
      </c>
      <c r="K348" s="30" t="str">
        <f t="shared" si="44"/>
        <v>MEJORA</v>
      </c>
    </row>
    <row r="349" spans="1:11" x14ac:dyDescent="0.25">
      <c r="A349" s="47" t="s">
        <v>153</v>
      </c>
      <c r="B349" s="47" t="s">
        <v>178</v>
      </c>
      <c r="C349" s="47">
        <v>45917</v>
      </c>
      <c r="D349" s="36" t="s">
        <v>62</v>
      </c>
      <c r="E349" s="45" t="s">
        <v>138</v>
      </c>
      <c r="F349" s="5" t="s">
        <v>120</v>
      </c>
      <c r="G349" s="75">
        <v>0</v>
      </c>
      <c r="H349" s="30">
        <f t="shared" si="45"/>
        <v>0</v>
      </c>
      <c r="I349" s="82">
        <f t="shared" si="46"/>
        <v>0</v>
      </c>
      <c r="J349" s="82">
        <f t="shared" si="47"/>
        <v>0</v>
      </c>
      <c r="K349" s="30" t="str">
        <f t="shared" si="44"/>
        <v>MEJORA</v>
      </c>
    </row>
    <row r="350" spans="1:11" x14ac:dyDescent="0.25">
      <c r="A350" s="47" t="s">
        <v>153</v>
      </c>
      <c r="B350" s="47" t="s">
        <v>178</v>
      </c>
      <c r="C350" s="47">
        <v>45917</v>
      </c>
      <c r="D350" s="36" t="s">
        <v>62</v>
      </c>
      <c r="E350" s="45" t="s">
        <v>138</v>
      </c>
      <c r="F350" s="5" t="s">
        <v>121</v>
      </c>
      <c r="G350" s="75">
        <v>0</v>
      </c>
      <c r="H350" s="30">
        <f t="shared" si="45"/>
        <v>0</v>
      </c>
      <c r="I350" s="82">
        <f t="shared" si="46"/>
        <v>0</v>
      </c>
      <c r="J350" s="82">
        <f t="shared" si="47"/>
        <v>0</v>
      </c>
      <c r="K350" s="30" t="str">
        <f t="shared" si="44"/>
        <v>MEJORA</v>
      </c>
    </row>
    <row r="351" spans="1:11" x14ac:dyDescent="0.25">
      <c r="A351" s="47" t="s">
        <v>153</v>
      </c>
      <c r="B351" s="47" t="s">
        <v>178</v>
      </c>
      <c r="C351" s="47">
        <v>45917</v>
      </c>
      <c r="D351" s="36" t="s">
        <v>62</v>
      </c>
      <c r="E351" s="45" t="s">
        <v>138</v>
      </c>
      <c r="F351" s="5" t="s">
        <v>122</v>
      </c>
      <c r="G351" s="75">
        <v>0</v>
      </c>
      <c r="H351" s="30">
        <f t="shared" si="45"/>
        <v>0</v>
      </c>
      <c r="I351" s="82">
        <f t="shared" si="46"/>
        <v>0</v>
      </c>
      <c r="J351" s="82">
        <f t="shared" si="47"/>
        <v>0</v>
      </c>
      <c r="K351" s="30" t="str">
        <f t="shared" si="44"/>
        <v>MEJORA</v>
      </c>
    </row>
    <row r="352" spans="1:11" x14ac:dyDescent="0.25">
      <c r="A352" s="47" t="s">
        <v>153</v>
      </c>
      <c r="B352" s="47" t="s">
        <v>178</v>
      </c>
      <c r="C352" s="47">
        <v>45917</v>
      </c>
      <c r="D352" s="48" t="s">
        <v>150</v>
      </c>
      <c r="E352" s="46" t="s">
        <v>138</v>
      </c>
      <c r="F352" s="10" t="s">
        <v>123</v>
      </c>
      <c r="G352" s="75">
        <v>0</v>
      </c>
      <c r="H352" s="30">
        <f t="shared" si="45"/>
        <v>0</v>
      </c>
      <c r="I352" s="82">
        <f t="shared" si="46"/>
        <v>1.2937500000000002</v>
      </c>
      <c r="J352" s="82">
        <f t="shared" si="47"/>
        <v>3.0187499999999998</v>
      </c>
      <c r="K352" s="30" t="str">
        <f t="shared" si="44"/>
        <v>MEJORA</v>
      </c>
    </row>
    <row r="353" spans="1:12" x14ac:dyDescent="0.25">
      <c r="A353" s="47" t="s">
        <v>153</v>
      </c>
      <c r="B353" s="47" t="s">
        <v>178</v>
      </c>
      <c r="C353" s="47">
        <v>45917</v>
      </c>
      <c r="D353" s="48" t="s">
        <v>150</v>
      </c>
      <c r="E353" s="46" t="s">
        <v>138</v>
      </c>
      <c r="F353" s="10" t="s">
        <v>124</v>
      </c>
      <c r="G353" s="75">
        <v>0</v>
      </c>
      <c r="H353" s="30">
        <f t="shared" si="45"/>
        <v>0</v>
      </c>
      <c r="I353" s="82">
        <f t="shared" si="46"/>
        <v>0</v>
      </c>
      <c r="J353" s="82">
        <f t="shared" si="47"/>
        <v>0</v>
      </c>
      <c r="K353" s="30" t="str">
        <f t="shared" si="44"/>
        <v>MEJORA</v>
      </c>
    </row>
    <row r="354" spans="1:12" x14ac:dyDescent="0.25">
      <c r="A354" s="47" t="s">
        <v>153</v>
      </c>
      <c r="B354" s="47" t="s">
        <v>178</v>
      </c>
      <c r="C354" s="47">
        <v>45917</v>
      </c>
      <c r="D354" s="48" t="s">
        <v>150</v>
      </c>
      <c r="E354" s="46" t="s">
        <v>138</v>
      </c>
      <c r="F354" s="10" t="s">
        <v>125</v>
      </c>
      <c r="G354" s="75">
        <v>0</v>
      </c>
      <c r="H354" s="30">
        <f t="shared" si="45"/>
        <v>0</v>
      </c>
      <c r="I354" s="82">
        <f t="shared" si="46"/>
        <v>0</v>
      </c>
      <c r="J354" s="82">
        <f t="shared" si="47"/>
        <v>0</v>
      </c>
      <c r="K354" s="30" t="str">
        <f t="shared" si="44"/>
        <v>MEJORA</v>
      </c>
    </row>
    <row r="355" spans="1:12" x14ac:dyDescent="0.25">
      <c r="A355" s="47" t="s">
        <v>153</v>
      </c>
      <c r="B355" s="47" t="s">
        <v>178</v>
      </c>
      <c r="C355" s="47">
        <v>45917</v>
      </c>
      <c r="D355" s="48" t="s">
        <v>150</v>
      </c>
      <c r="E355" s="46" t="s">
        <v>138</v>
      </c>
      <c r="F355" s="10" t="s">
        <v>126</v>
      </c>
      <c r="G355" s="75">
        <v>0</v>
      </c>
      <c r="H355" s="30">
        <f t="shared" si="45"/>
        <v>0</v>
      </c>
      <c r="I355" s="82">
        <f t="shared" si="46"/>
        <v>0</v>
      </c>
      <c r="J355" s="82">
        <f t="shared" si="47"/>
        <v>0</v>
      </c>
      <c r="K355" s="30" t="str">
        <f t="shared" si="44"/>
        <v>MEJORA</v>
      </c>
    </row>
    <row r="356" spans="1:12" x14ac:dyDescent="0.25">
      <c r="A356" s="47" t="s">
        <v>153</v>
      </c>
      <c r="B356" s="47" t="s">
        <v>178</v>
      </c>
      <c r="C356" s="47">
        <v>45917</v>
      </c>
      <c r="D356" s="48" t="s">
        <v>150</v>
      </c>
      <c r="E356" s="46" t="s">
        <v>138</v>
      </c>
      <c r="F356" s="10" t="s">
        <v>127</v>
      </c>
      <c r="G356" s="75">
        <v>0</v>
      </c>
      <c r="H356" s="30">
        <f t="shared" si="45"/>
        <v>0</v>
      </c>
      <c r="I356" s="82">
        <f t="shared" si="46"/>
        <v>0</v>
      </c>
      <c r="J356" s="82">
        <f t="shared" si="47"/>
        <v>0</v>
      </c>
      <c r="K356" s="30" t="str">
        <f t="shared" si="44"/>
        <v>MEJORA</v>
      </c>
    </row>
    <row r="357" spans="1:12" x14ac:dyDescent="0.25">
      <c r="A357" s="47" t="s">
        <v>153</v>
      </c>
      <c r="B357" s="47" t="s">
        <v>178</v>
      </c>
      <c r="C357" s="47">
        <v>45917</v>
      </c>
      <c r="D357" s="48" t="s">
        <v>150</v>
      </c>
      <c r="E357" s="46" t="s">
        <v>138</v>
      </c>
      <c r="F357" s="10" t="s">
        <v>30</v>
      </c>
      <c r="G357" s="75">
        <v>0</v>
      </c>
      <c r="H357" s="30">
        <f t="shared" si="45"/>
        <v>0</v>
      </c>
      <c r="I357" s="82">
        <f t="shared" si="46"/>
        <v>0</v>
      </c>
      <c r="J357" s="82">
        <f t="shared" si="47"/>
        <v>0</v>
      </c>
      <c r="K357" s="30" t="str">
        <f t="shared" si="44"/>
        <v>MEJORA</v>
      </c>
    </row>
    <row r="358" spans="1:12" x14ac:dyDescent="0.25">
      <c r="A358" s="47" t="s">
        <v>153</v>
      </c>
      <c r="B358" s="47" t="s">
        <v>178</v>
      </c>
      <c r="C358" s="47">
        <v>45917</v>
      </c>
      <c r="D358" s="36" t="s">
        <v>149</v>
      </c>
      <c r="E358" s="45" t="s">
        <v>138</v>
      </c>
      <c r="F358" s="5" t="s">
        <v>128</v>
      </c>
      <c r="G358" s="75">
        <v>0</v>
      </c>
      <c r="H358" s="30">
        <f t="shared" si="45"/>
        <v>0</v>
      </c>
      <c r="I358" s="82">
        <f t="shared" si="46"/>
        <v>0</v>
      </c>
      <c r="J358" s="82">
        <f t="shared" si="47"/>
        <v>0</v>
      </c>
      <c r="K358" s="30" t="str">
        <f t="shared" si="44"/>
        <v>MEJORA</v>
      </c>
    </row>
    <row r="359" spans="1:12" x14ac:dyDescent="0.25">
      <c r="A359" s="47" t="s">
        <v>153</v>
      </c>
      <c r="B359" s="47" t="s">
        <v>178</v>
      </c>
      <c r="C359" s="47">
        <v>45917</v>
      </c>
      <c r="D359" s="36" t="s">
        <v>149</v>
      </c>
      <c r="E359" s="45" t="s">
        <v>138</v>
      </c>
      <c r="F359" s="5" t="s">
        <v>129</v>
      </c>
      <c r="G359" s="75">
        <v>0</v>
      </c>
      <c r="H359" s="30">
        <f t="shared" si="45"/>
        <v>0</v>
      </c>
      <c r="I359" s="82">
        <f t="shared" si="46"/>
        <v>0</v>
      </c>
      <c r="J359" s="82">
        <f t="shared" si="47"/>
        <v>0</v>
      </c>
      <c r="K359" s="30" t="str">
        <f t="shared" si="44"/>
        <v>MEJORA</v>
      </c>
    </row>
    <row r="360" spans="1:12" x14ac:dyDescent="0.25">
      <c r="A360" s="47" t="s">
        <v>153</v>
      </c>
      <c r="B360" s="47" t="s">
        <v>178</v>
      </c>
      <c r="C360" s="47">
        <v>45917</v>
      </c>
      <c r="D360" s="36" t="s">
        <v>149</v>
      </c>
      <c r="E360" s="45" t="s">
        <v>138</v>
      </c>
      <c r="F360" s="5" t="s">
        <v>31</v>
      </c>
      <c r="G360" s="75">
        <v>0</v>
      </c>
      <c r="H360" s="30">
        <f t="shared" si="45"/>
        <v>0</v>
      </c>
      <c r="I360" s="82">
        <f t="shared" si="46"/>
        <v>0</v>
      </c>
      <c r="J360" s="82">
        <f t="shared" si="47"/>
        <v>0</v>
      </c>
      <c r="K360" s="30" t="str">
        <f t="shared" si="44"/>
        <v>MEJORA</v>
      </c>
    </row>
    <row r="361" spans="1:12" x14ac:dyDescent="0.25">
      <c r="A361" s="39" t="s">
        <v>153</v>
      </c>
      <c r="B361" s="39" t="s">
        <v>178</v>
      </c>
      <c r="C361" s="41">
        <v>45917</v>
      </c>
      <c r="D361" s="42"/>
      <c r="E361" s="39" t="s">
        <v>138</v>
      </c>
      <c r="F361" s="42"/>
      <c r="G361" s="79">
        <f>SUM(G332:G360)</f>
        <v>0</v>
      </c>
      <c r="H361" s="44">
        <f>SUM(H332:H360)</f>
        <v>0</v>
      </c>
      <c r="I361" s="83">
        <f>SUM(I332:I360)</f>
        <v>16.818750000000001</v>
      </c>
      <c r="J361" s="83">
        <f>SUM(J332:J360)</f>
        <v>39.243749999999999</v>
      </c>
      <c r="K361" s="30" t="str">
        <f t="shared" si="44"/>
        <v>MEJORA</v>
      </c>
      <c r="L361" s="64"/>
    </row>
    <row r="362" spans="1:12" x14ac:dyDescent="0.25">
      <c r="A362" s="47" t="s">
        <v>153</v>
      </c>
      <c r="B362" s="47" t="s">
        <v>176</v>
      </c>
      <c r="C362" s="47">
        <v>45917</v>
      </c>
      <c r="D362" s="35" t="s">
        <v>148</v>
      </c>
      <c r="E362" s="38" t="s">
        <v>139</v>
      </c>
      <c r="F362" s="9" t="s">
        <v>108</v>
      </c>
      <c r="G362" s="75" cm="1">
        <f t="array" ref="G362:G390">TRANSPOSE(DIAGNÓSTICO!P83:AR83)</f>
        <v>0</v>
      </c>
      <c r="H362" s="30">
        <f>IFERROR((G362/$G$391),0)</f>
        <v>0</v>
      </c>
      <c r="I362" s="82">
        <f>I92</f>
        <v>0</v>
      </c>
      <c r="J362" s="82">
        <f>((G2)-(I92+I182+I272+I362))</f>
        <v>0</v>
      </c>
      <c r="K362" s="30" t="str">
        <f>IF(G362&lt;=J362,$N$1,IF(G362=G272,$M$1,IF(G362&gt;J362,$O$1,0)))</f>
        <v>MEJORA</v>
      </c>
    </row>
    <row r="363" spans="1:12" x14ac:dyDescent="0.25">
      <c r="A363" s="47" t="s">
        <v>153</v>
      </c>
      <c r="B363" s="47" t="s">
        <v>176</v>
      </c>
      <c r="C363" s="47">
        <v>45917</v>
      </c>
      <c r="D363" s="35" t="s">
        <v>148</v>
      </c>
      <c r="E363" s="38" t="s">
        <v>139</v>
      </c>
      <c r="F363" s="9" t="s">
        <v>109</v>
      </c>
      <c r="G363" s="75">
        <v>0</v>
      </c>
      <c r="H363" s="30">
        <f t="shared" ref="H363:H390" si="48">IFERROR((G363/$G$391),0)</f>
        <v>0</v>
      </c>
      <c r="I363" s="82">
        <f t="shared" ref="I363:I390" si="49">I93</f>
        <v>1.9406250000000003</v>
      </c>
      <c r="J363" s="82">
        <f t="shared" ref="J363:J391" si="50">((G3)-(I93+I183+I273+I363))</f>
        <v>2.5875000000000004</v>
      </c>
      <c r="K363" s="30" t="str">
        <f t="shared" ref="K363:K391" si="51">IF(G363&lt;=J363,$N$1,IF(G363=G273,$M$1,IF(G363&gt;J363,$O$1,0)))</f>
        <v>MEJORA</v>
      </c>
    </row>
    <row r="364" spans="1:12" x14ac:dyDescent="0.25">
      <c r="A364" s="47" t="s">
        <v>153</v>
      </c>
      <c r="B364" s="47" t="s">
        <v>176</v>
      </c>
      <c r="C364" s="47">
        <v>45917</v>
      </c>
      <c r="D364" s="35" t="s">
        <v>148</v>
      </c>
      <c r="E364" s="38" t="s">
        <v>139</v>
      </c>
      <c r="F364" s="9" t="s">
        <v>110</v>
      </c>
      <c r="G364" s="75">
        <v>0</v>
      </c>
      <c r="H364" s="30">
        <f t="shared" si="48"/>
        <v>0</v>
      </c>
      <c r="I364" s="82">
        <f t="shared" si="49"/>
        <v>0</v>
      </c>
      <c r="J364" s="82">
        <f t="shared" si="50"/>
        <v>0</v>
      </c>
      <c r="K364" s="30" t="str">
        <f t="shared" si="51"/>
        <v>MEJORA</v>
      </c>
    </row>
    <row r="365" spans="1:12" x14ac:dyDescent="0.25">
      <c r="A365" s="47" t="s">
        <v>153</v>
      </c>
      <c r="B365" s="47" t="s">
        <v>176</v>
      </c>
      <c r="C365" s="47">
        <v>45917</v>
      </c>
      <c r="D365" s="35" t="s">
        <v>148</v>
      </c>
      <c r="E365" s="38" t="s">
        <v>139</v>
      </c>
      <c r="F365" s="9" t="s">
        <v>111</v>
      </c>
      <c r="G365" s="75">
        <v>0</v>
      </c>
      <c r="H365" s="30">
        <f t="shared" si="48"/>
        <v>0</v>
      </c>
      <c r="I365" s="82">
        <f t="shared" si="49"/>
        <v>0</v>
      </c>
      <c r="J365" s="82">
        <f t="shared" si="50"/>
        <v>0</v>
      </c>
      <c r="K365" s="30" t="str">
        <f t="shared" si="51"/>
        <v>MEJORA</v>
      </c>
    </row>
    <row r="366" spans="1:12" x14ac:dyDescent="0.25">
      <c r="A366" s="47" t="s">
        <v>153</v>
      </c>
      <c r="B366" s="47" t="s">
        <v>176</v>
      </c>
      <c r="C366" s="47">
        <v>45917</v>
      </c>
      <c r="D366" s="35" t="s">
        <v>148</v>
      </c>
      <c r="E366" s="38" t="s">
        <v>139</v>
      </c>
      <c r="F366" s="9" t="s">
        <v>112</v>
      </c>
      <c r="G366" s="75">
        <v>0</v>
      </c>
      <c r="H366" s="30">
        <f t="shared" si="48"/>
        <v>0</v>
      </c>
      <c r="I366" s="82">
        <f t="shared" si="49"/>
        <v>2.5875000000000004</v>
      </c>
      <c r="J366" s="82">
        <f t="shared" si="50"/>
        <v>3.4499999999999993</v>
      </c>
      <c r="K366" s="30" t="str">
        <f t="shared" si="51"/>
        <v>MEJORA</v>
      </c>
    </row>
    <row r="367" spans="1:12" x14ac:dyDescent="0.25">
      <c r="A367" s="47" t="s">
        <v>153</v>
      </c>
      <c r="B367" s="47" t="s">
        <v>176</v>
      </c>
      <c r="C367" s="47">
        <v>45917</v>
      </c>
      <c r="D367" s="35" t="s">
        <v>148</v>
      </c>
      <c r="E367" s="38" t="s">
        <v>139</v>
      </c>
      <c r="F367" s="9" t="s">
        <v>113</v>
      </c>
      <c r="G367" s="75">
        <v>0</v>
      </c>
      <c r="H367" s="30">
        <f t="shared" si="48"/>
        <v>0</v>
      </c>
      <c r="I367" s="82">
        <f t="shared" si="49"/>
        <v>2.5875000000000004</v>
      </c>
      <c r="J367" s="82">
        <f t="shared" si="50"/>
        <v>3.4499999999999993</v>
      </c>
      <c r="K367" s="30" t="str">
        <f t="shared" si="51"/>
        <v>MEJORA</v>
      </c>
    </row>
    <row r="368" spans="1:12" x14ac:dyDescent="0.25">
      <c r="A368" s="47" t="s">
        <v>153</v>
      </c>
      <c r="B368" s="47" t="s">
        <v>176</v>
      </c>
      <c r="C368" s="47">
        <v>45917</v>
      </c>
      <c r="D368" s="35" t="s">
        <v>148</v>
      </c>
      <c r="E368" s="38" t="s">
        <v>139</v>
      </c>
      <c r="F368" s="9" t="s">
        <v>114</v>
      </c>
      <c r="G368" s="75">
        <v>0</v>
      </c>
      <c r="H368" s="30">
        <f t="shared" si="48"/>
        <v>0</v>
      </c>
      <c r="I368" s="82">
        <f t="shared" si="49"/>
        <v>3.234375</v>
      </c>
      <c r="J368" s="82">
        <f t="shared" si="50"/>
        <v>4.3125</v>
      </c>
      <c r="K368" s="30" t="str">
        <f t="shared" si="51"/>
        <v>MEJORA</v>
      </c>
    </row>
    <row r="369" spans="1:11" x14ac:dyDescent="0.25">
      <c r="A369" s="47" t="s">
        <v>153</v>
      </c>
      <c r="B369" s="47" t="s">
        <v>176</v>
      </c>
      <c r="C369" s="47">
        <v>45917</v>
      </c>
      <c r="D369" s="35" t="s">
        <v>148</v>
      </c>
      <c r="E369" s="38" t="s">
        <v>139</v>
      </c>
      <c r="F369" s="9" t="s">
        <v>115</v>
      </c>
      <c r="G369" s="75">
        <v>0</v>
      </c>
      <c r="H369" s="30">
        <f t="shared" si="48"/>
        <v>0</v>
      </c>
      <c r="I369" s="82">
        <f t="shared" si="49"/>
        <v>2.5875000000000004</v>
      </c>
      <c r="J369" s="82">
        <f t="shared" si="50"/>
        <v>3.4499999999999993</v>
      </c>
      <c r="K369" s="30" t="str">
        <f t="shared" si="51"/>
        <v>MEJORA</v>
      </c>
    </row>
    <row r="370" spans="1:11" x14ac:dyDescent="0.25">
      <c r="A370" s="47" t="s">
        <v>153</v>
      </c>
      <c r="B370" s="47" t="s">
        <v>176</v>
      </c>
      <c r="C370" s="47">
        <v>45917</v>
      </c>
      <c r="D370" s="35" t="s">
        <v>148</v>
      </c>
      <c r="E370" s="38" t="s">
        <v>139</v>
      </c>
      <c r="F370" s="9" t="s">
        <v>116</v>
      </c>
      <c r="G370" s="75">
        <v>0</v>
      </c>
      <c r="H370" s="30">
        <f t="shared" si="48"/>
        <v>0</v>
      </c>
      <c r="I370" s="82">
        <f t="shared" si="49"/>
        <v>0.64687500000000009</v>
      </c>
      <c r="J370" s="82">
        <f t="shared" si="50"/>
        <v>0.86249999999999982</v>
      </c>
      <c r="K370" s="30" t="str">
        <f t="shared" si="51"/>
        <v>MEJORA</v>
      </c>
    </row>
    <row r="371" spans="1:11" x14ac:dyDescent="0.25">
      <c r="A371" s="47" t="s">
        <v>153</v>
      </c>
      <c r="B371" s="47" t="s">
        <v>176</v>
      </c>
      <c r="C371" s="47">
        <v>45917</v>
      </c>
      <c r="D371" s="35" t="s">
        <v>148</v>
      </c>
      <c r="E371" s="38" t="s">
        <v>139</v>
      </c>
      <c r="F371" s="9" t="s">
        <v>117</v>
      </c>
      <c r="G371" s="75">
        <v>0</v>
      </c>
      <c r="H371" s="30">
        <f t="shared" si="48"/>
        <v>0</v>
      </c>
      <c r="I371" s="82">
        <f t="shared" si="49"/>
        <v>1.9406250000000003</v>
      </c>
      <c r="J371" s="82">
        <f t="shared" si="50"/>
        <v>2.5875000000000004</v>
      </c>
      <c r="K371" s="30" t="str">
        <f t="shared" si="51"/>
        <v>MEJORA</v>
      </c>
    </row>
    <row r="372" spans="1:11" x14ac:dyDescent="0.25">
      <c r="A372" s="47" t="s">
        <v>153</v>
      </c>
      <c r="B372" s="47" t="s">
        <v>176</v>
      </c>
      <c r="C372" s="47">
        <v>45917</v>
      </c>
      <c r="D372" s="36" t="s">
        <v>62</v>
      </c>
      <c r="E372" s="45" t="s">
        <v>139</v>
      </c>
      <c r="F372" s="5" t="s">
        <v>118</v>
      </c>
      <c r="G372" s="75">
        <v>0</v>
      </c>
      <c r="H372" s="30">
        <f t="shared" si="48"/>
        <v>0</v>
      </c>
      <c r="I372" s="82">
        <f t="shared" si="49"/>
        <v>0.64687500000000009</v>
      </c>
      <c r="J372" s="82">
        <f t="shared" si="50"/>
        <v>0.86249999999999982</v>
      </c>
      <c r="K372" s="30" t="str">
        <f t="shared" si="51"/>
        <v>MEJORA</v>
      </c>
    </row>
    <row r="373" spans="1:11" x14ac:dyDescent="0.25">
      <c r="A373" s="47" t="s">
        <v>153</v>
      </c>
      <c r="B373" s="47" t="s">
        <v>176</v>
      </c>
      <c r="C373" s="47">
        <v>45917</v>
      </c>
      <c r="D373" s="36" t="s">
        <v>62</v>
      </c>
      <c r="E373" s="45" t="s">
        <v>139</v>
      </c>
      <c r="F373" s="5" t="s">
        <v>24</v>
      </c>
      <c r="G373" s="75">
        <v>0</v>
      </c>
      <c r="H373" s="30">
        <f t="shared" si="48"/>
        <v>0</v>
      </c>
      <c r="I373" s="82">
        <f t="shared" si="49"/>
        <v>0</v>
      </c>
      <c r="J373" s="82">
        <f t="shared" si="50"/>
        <v>0</v>
      </c>
      <c r="K373" s="30" t="str">
        <f t="shared" si="51"/>
        <v>MEJORA</v>
      </c>
    </row>
    <row r="374" spans="1:11" x14ac:dyDescent="0.25">
      <c r="A374" s="47" t="s">
        <v>153</v>
      </c>
      <c r="B374" s="47" t="s">
        <v>176</v>
      </c>
      <c r="C374" s="47">
        <v>45917</v>
      </c>
      <c r="D374" s="36" t="s">
        <v>62</v>
      </c>
      <c r="E374" s="45" t="s">
        <v>139</v>
      </c>
      <c r="F374" s="5" t="s">
        <v>25</v>
      </c>
      <c r="G374" s="75">
        <v>0</v>
      </c>
      <c r="H374" s="30">
        <f t="shared" si="48"/>
        <v>0</v>
      </c>
      <c r="I374" s="82">
        <f t="shared" si="49"/>
        <v>0</v>
      </c>
      <c r="J374" s="82">
        <f t="shared" si="50"/>
        <v>0</v>
      </c>
      <c r="K374" s="30" t="str">
        <f t="shared" si="51"/>
        <v>MEJORA</v>
      </c>
    </row>
    <row r="375" spans="1:11" x14ac:dyDescent="0.25">
      <c r="A375" s="47" t="s">
        <v>153</v>
      </c>
      <c r="B375" s="47" t="s">
        <v>176</v>
      </c>
      <c r="C375" s="47">
        <v>45917</v>
      </c>
      <c r="D375" s="36" t="s">
        <v>62</v>
      </c>
      <c r="E375" s="45" t="s">
        <v>139</v>
      </c>
      <c r="F375" s="5" t="s">
        <v>26</v>
      </c>
      <c r="G375" s="75">
        <v>0</v>
      </c>
      <c r="H375" s="30">
        <f t="shared" si="48"/>
        <v>0</v>
      </c>
      <c r="I375" s="82">
        <f t="shared" si="49"/>
        <v>0</v>
      </c>
      <c r="J375" s="82">
        <f t="shared" si="50"/>
        <v>0</v>
      </c>
      <c r="K375" s="30" t="str">
        <f t="shared" si="51"/>
        <v>MEJORA</v>
      </c>
    </row>
    <row r="376" spans="1:11" x14ac:dyDescent="0.25">
      <c r="A376" s="47" t="s">
        <v>153</v>
      </c>
      <c r="B376" s="47" t="s">
        <v>176</v>
      </c>
      <c r="C376" s="47">
        <v>45917</v>
      </c>
      <c r="D376" s="36" t="s">
        <v>62</v>
      </c>
      <c r="E376" s="45" t="s">
        <v>139</v>
      </c>
      <c r="F376" s="5" t="s">
        <v>27</v>
      </c>
      <c r="G376" s="75">
        <v>0</v>
      </c>
      <c r="H376" s="30">
        <f t="shared" si="48"/>
        <v>0</v>
      </c>
      <c r="I376" s="82">
        <f t="shared" si="49"/>
        <v>0</v>
      </c>
      <c r="J376" s="82">
        <f t="shared" si="50"/>
        <v>0</v>
      </c>
      <c r="K376" s="30" t="str">
        <f t="shared" si="51"/>
        <v>MEJORA</v>
      </c>
    </row>
    <row r="377" spans="1:11" x14ac:dyDescent="0.25">
      <c r="A377" s="47" t="s">
        <v>153</v>
      </c>
      <c r="B377" s="47" t="s">
        <v>176</v>
      </c>
      <c r="C377" s="47">
        <v>45917</v>
      </c>
      <c r="D377" s="36" t="s">
        <v>62</v>
      </c>
      <c r="E377" s="45" t="s">
        <v>139</v>
      </c>
      <c r="F377" s="5" t="s">
        <v>28</v>
      </c>
      <c r="G377" s="75">
        <v>0</v>
      </c>
      <c r="H377" s="30">
        <f t="shared" si="48"/>
        <v>0</v>
      </c>
      <c r="I377" s="82">
        <f t="shared" si="49"/>
        <v>0</v>
      </c>
      <c r="J377" s="82">
        <f t="shared" si="50"/>
        <v>0</v>
      </c>
      <c r="K377" s="30" t="str">
        <f t="shared" si="51"/>
        <v>MEJORA</v>
      </c>
    </row>
    <row r="378" spans="1:11" x14ac:dyDescent="0.25">
      <c r="A378" s="47" t="s">
        <v>153</v>
      </c>
      <c r="B378" s="47" t="s">
        <v>176</v>
      </c>
      <c r="C378" s="47">
        <v>45917</v>
      </c>
      <c r="D378" s="36" t="s">
        <v>62</v>
      </c>
      <c r="E378" s="45" t="s">
        <v>139</v>
      </c>
      <c r="F378" s="5" t="s">
        <v>119</v>
      </c>
      <c r="G378" s="75">
        <v>0</v>
      </c>
      <c r="H378" s="30">
        <f t="shared" si="48"/>
        <v>0</v>
      </c>
      <c r="I378" s="82">
        <f t="shared" si="49"/>
        <v>0</v>
      </c>
      <c r="J378" s="82">
        <f t="shared" si="50"/>
        <v>0</v>
      </c>
      <c r="K378" s="30" t="str">
        <f t="shared" si="51"/>
        <v>MEJORA</v>
      </c>
    </row>
    <row r="379" spans="1:11" x14ac:dyDescent="0.25">
      <c r="A379" s="47" t="s">
        <v>153</v>
      </c>
      <c r="B379" s="47" t="s">
        <v>176</v>
      </c>
      <c r="C379" s="47">
        <v>45917</v>
      </c>
      <c r="D379" s="36" t="s">
        <v>62</v>
      </c>
      <c r="E379" s="45" t="s">
        <v>139</v>
      </c>
      <c r="F379" s="5" t="s">
        <v>120</v>
      </c>
      <c r="G379" s="75">
        <v>0</v>
      </c>
      <c r="H379" s="30">
        <f t="shared" si="48"/>
        <v>0</v>
      </c>
      <c r="I379" s="82">
        <f t="shared" si="49"/>
        <v>0</v>
      </c>
      <c r="J379" s="82">
        <f t="shared" si="50"/>
        <v>0</v>
      </c>
      <c r="K379" s="30" t="str">
        <f t="shared" si="51"/>
        <v>MEJORA</v>
      </c>
    </row>
    <row r="380" spans="1:11" x14ac:dyDescent="0.25">
      <c r="A380" s="47" t="s">
        <v>153</v>
      </c>
      <c r="B380" s="47" t="s">
        <v>176</v>
      </c>
      <c r="C380" s="47">
        <v>45917</v>
      </c>
      <c r="D380" s="36" t="s">
        <v>62</v>
      </c>
      <c r="E380" s="45" t="s">
        <v>139</v>
      </c>
      <c r="F380" s="5" t="s">
        <v>121</v>
      </c>
      <c r="G380" s="75">
        <v>0</v>
      </c>
      <c r="H380" s="30">
        <f t="shared" si="48"/>
        <v>0</v>
      </c>
      <c r="I380" s="82">
        <f t="shared" si="49"/>
        <v>0</v>
      </c>
      <c r="J380" s="82">
        <f t="shared" si="50"/>
        <v>0</v>
      </c>
      <c r="K380" s="30" t="str">
        <f t="shared" si="51"/>
        <v>MEJORA</v>
      </c>
    </row>
    <row r="381" spans="1:11" x14ac:dyDescent="0.25">
      <c r="A381" s="47" t="s">
        <v>153</v>
      </c>
      <c r="B381" s="47" t="s">
        <v>176</v>
      </c>
      <c r="C381" s="47">
        <v>45917</v>
      </c>
      <c r="D381" s="36" t="s">
        <v>62</v>
      </c>
      <c r="E381" s="45" t="s">
        <v>139</v>
      </c>
      <c r="F381" s="5" t="s">
        <v>122</v>
      </c>
      <c r="G381" s="75">
        <v>0</v>
      </c>
      <c r="H381" s="30">
        <f t="shared" si="48"/>
        <v>0</v>
      </c>
      <c r="I381" s="82">
        <f t="shared" si="49"/>
        <v>0</v>
      </c>
      <c r="J381" s="82">
        <f t="shared" si="50"/>
        <v>0</v>
      </c>
      <c r="K381" s="30" t="str">
        <f t="shared" si="51"/>
        <v>MEJORA</v>
      </c>
    </row>
    <row r="382" spans="1:11" x14ac:dyDescent="0.25">
      <c r="A382" s="47" t="s">
        <v>153</v>
      </c>
      <c r="B382" s="47" t="s">
        <v>176</v>
      </c>
      <c r="C382" s="47">
        <v>45917</v>
      </c>
      <c r="D382" s="48" t="s">
        <v>150</v>
      </c>
      <c r="E382" s="46" t="s">
        <v>139</v>
      </c>
      <c r="F382" s="10" t="s">
        <v>123</v>
      </c>
      <c r="G382" s="75">
        <v>0</v>
      </c>
      <c r="H382" s="30">
        <f t="shared" si="48"/>
        <v>0</v>
      </c>
      <c r="I382" s="82">
        <f t="shared" si="49"/>
        <v>0</v>
      </c>
      <c r="J382" s="82">
        <f t="shared" si="50"/>
        <v>0</v>
      </c>
      <c r="K382" s="30" t="str">
        <f t="shared" si="51"/>
        <v>MEJORA</v>
      </c>
    </row>
    <row r="383" spans="1:11" x14ac:dyDescent="0.25">
      <c r="A383" s="47" t="s">
        <v>153</v>
      </c>
      <c r="B383" s="47" t="s">
        <v>176</v>
      </c>
      <c r="C383" s="47">
        <v>45917</v>
      </c>
      <c r="D383" s="48" t="s">
        <v>150</v>
      </c>
      <c r="E383" s="46" t="s">
        <v>139</v>
      </c>
      <c r="F383" s="10" t="s">
        <v>124</v>
      </c>
      <c r="G383" s="75">
        <v>0</v>
      </c>
      <c r="H383" s="30">
        <f t="shared" si="48"/>
        <v>0</v>
      </c>
      <c r="I383" s="82">
        <f t="shared" si="49"/>
        <v>0.64687500000000009</v>
      </c>
      <c r="J383" s="82">
        <f t="shared" si="50"/>
        <v>0.86249999999999982</v>
      </c>
      <c r="K383" s="30" t="str">
        <f t="shared" si="51"/>
        <v>MEJORA</v>
      </c>
    </row>
    <row r="384" spans="1:11" x14ac:dyDescent="0.25">
      <c r="A384" s="47" t="s">
        <v>153</v>
      </c>
      <c r="B384" s="47" t="s">
        <v>176</v>
      </c>
      <c r="C384" s="47">
        <v>45917</v>
      </c>
      <c r="D384" s="48" t="s">
        <v>150</v>
      </c>
      <c r="E384" s="46" t="s">
        <v>139</v>
      </c>
      <c r="F384" s="10" t="s">
        <v>125</v>
      </c>
      <c r="G384" s="75">
        <v>0</v>
      </c>
      <c r="H384" s="30">
        <f t="shared" si="48"/>
        <v>0</v>
      </c>
      <c r="I384" s="82">
        <f t="shared" si="49"/>
        <v>0</v>
      </c>
      <c r="J384" s="82">
        <f t="shared" si="50"/>
        <v>0</v>
      </c>
      <c r="K384" s="30" t="str">
        <f t="shared" si="51"/>
        <v>MEJORA</v>
      </c>
    </row>
    <row r="385" spans="1:11" x14ac:dyDescent="0.25">
      <c r="A385" s="47" t="s">
        <v>153</v>
      </c>
      <c r="B385" s="47" t="s">
        <v>176</v>
      </c>
      <c r="C385" s="47">
        <v>45917</v>
      </c>
      <c r="D385" s="48" t="s">
        <v>150</v>
      </c>
      <c r="E385" s="46" t="s">
        <v>139</v>
      </c>
      <c r="F385" s="10" t="s">
        <v>126</v>
      </c>
      <c r="G385" s="75">
        <v>0</v>
      </c>
      <c r="H385" s="30">
        <f t="shared" si="48"/>
        <v>0</v>
      </c>
      <c r="I385" s="82">
        <f t="shared" si="49"/>
        <v>0</v>
      </c>
      <c r="J385" s="82">
        <f t="shared" si="50"/>
        <v>0</v>
      </c>
      <c r="K385" s="30" t="str">
        <f t="shared" si="51"/>
        <v>MEJORA</v>
      </c>
    </row>
    <row r="386" spans="1:11" x14ac:dyDescent="0.25">
      <c r="A386" s="47" t="s">
        <v>153</v>
      </c>
      <c r="B386" s="47" t="s">
        <v>176</v>
      </c>
      <c r="C386" s="47">
        <v>45917</v>
      </c>
      <c r="D386" s="48" t="s">
        <v>150</v>
      </c>
      <c r="E386" s="46" t="s">
        <v>139</v>
      </c>
      <c r="F386" s="10" t="s">
        <v>127</v>
      </c>
      <c r="G386" s="75">
        <v>0</v>
      </c>
      <c r="H386" s="30">
        <f t="shared" si="48"/>
        <v>0</v>
      </c>
      <c r="I386" s="82">
        <f t="shared" si="49"/>
        <v>0</v>
      </c>
      <c r="J386" s="82">
        <f t="shared" si="50"/>
        <v>0</v>
      </c>
      <c r="K386" s="30" t="str">
        <f t="shared" si="51"/>
        <v>MEJORA</v>
      </c>
    </row>
    <row r="387" spans="1:11" x14ac:dyDescent="0.25">
      <c r="A387" s="47" t="s">
        <v>153</v>
      </c>
      <c r="B387" s="47" t="s">
        <v>176</v>
      </c>
      <c r="C387" s="47">
        <v>45917</v>
      </c>
      <c r="D387" s="48" t="s">
        <v>150</v>
      </c>
      <c r="E387" s="46" t="s">
        <v>139</v>
      </c>
      <c r="F387" s="10" t="s">
        <v>30</v>
      </c>
      <c r="G387" s="75">
        <v>0</v>
      </c>
      <c r="H387" s="30">
        <f t="shared" si="48"/>
        <v>0</v>
      </c>
      <c r="I387" s="82">
        <f t="shared" si="49"/>
        <v>0</v>
      </c>
      <c r="J387" s="82">
        <f t="shared" si="50"/>
        <v>0</v>
      </c>
      <c r="K387" s="30" t="str">
        <f t="shared" si="51"/>
        <v>MEJORA</v>
      </c>
    </row>
    <row r="388" spans="1:11" x14ac:dyDescent="0.25">
      <c r="A388" s="47" t="s">
        <v>153</v>
      </c>
      <c r="B388" s="47" t="s">
        <v>176</v>
      </c>
      <c r="C388" s="47">
        <v>45917</v>
      </c>
      <c r="D388" s="36" t="s">
        <v>149</v>
      </c>
      <c r="E388" s="45" t="s">
        <v>139</v>
      </c>
      <c r="F388" s="5" t="s">
        <v>128</v>
      </c>
      <c r="G388" s="75">
        <v>0</v>
      </c>
      <c r="H388" s="30">
        <f t="shared" si="48"/>
        <v>0</v>
      </c>
      <c r="I388" s="82">
        <f t="shared" si="49"/>
        <v>0</v>
      </c>
      <c r="J388" s="82">
        <f t="shared" si="50"/>
        <v>0</v>
      </c>
      <c r="K388" s="30" t="str">
        <f t="shared" si="51"/>
        <v>MEJORA</v>
      </c>
    </row>
    <row r="389" spans="1:11" x14ac:dyDescent="0.25">
      <c r="A389" s="47" t="s">
        <v>153</v>
      </c>
      <c r="B389" s="47" t="s">
        <v>176</v>
      </c>
      <c r="C389" s="47">
        <v>45917</v>
      </c>
      <c r="D389" s="36" t="s">
        <v>149</v>
      </c>
      <c r="E389" s="45" t="s">
        <v>139</v>
      </c>
      <c r="F389" s="5" t="s">
        <v>129</v>
      </c>
      <c r="G389" s="75">
        <v>0</v>
      </c>
      <c r="H389" s="30">
        <f t="shared" si="48"/>
        <v>0</v>
      </c>
      <c r="I389" s="82">
        <f t="shared" si="49"/>
        <v>0</v>
      </c>
      <c r="J389" s="82">
        <f t="shared" si="50"/>
        <v>0</v>
      </c>
      <c r="K389" s="30" t="str">
        <f t="shared" si="51"/>
        <v>MEJORA</v>
      </c>
    </row>
    <row r="390" spans="1:11" x14ac:dyDescent="0.25">
      <c r="A390" s="47" t="s">
        <v>153</v>
      </c>
      <c r="B390" s="47" t="s">
        <v>176</v>
      </c>
      <c r="C390" s="47">
        <v>45917</v>
      </c>
      <c r="D390" s="36" t="s">
        <v>149</v>
      </c>
      <c r="E390" s="45" t="s">
        <v>139</v>
      </c>
      <c r="F390" s="5" t="s">
        <v>31</v>
      </c>
      <c r="G390" s="75">
        <v>0</v>
      </c>
      <c r="H390" s="30">
        <f t="shared" si="48"/>
        <v>0</v>
      </c>
      <c r="I390" s="82">
        <f t="shared" si="49"/>
        <v>0.64687500000000009</v>
      </c>
      <c r="J390" s="82">
        <f t="shared" si="50"/>
        <v>0.86249999999999982</v>
      </c>
      <c r="K390" s="30" t="str">
        <f t="shared" si="51"/>
        <v>MEJORA</v>
      </c>
    </row>
    <row r="391" spans="1:11" x14ac:dyDescent="0.25">
      <c r="A391" s="39" t="s">
        <v>153</v>
      </c>
      <c r="B391" s="39" t="s">
        <v>176</v>
      </c>
      <c r="C391" s="41">
        <v>45917</v>
      </c>
      <c r="D391" s="42"/>
      <c r="E391" s="39" t="s">
        <v>139</v>
      </c>
      <c r="F391" s="42"/>
      <c r="G391" s="79">
        <f>SUM(G362:G390)</f>
        <v>0</v>
      </c>
      <c r="H391" s="44">
        <f>SUM(H362:H390)</f>
        <v>0</v>
      </c>
      <c r="I391" s="79">
        <f t="shared" ref="I391" si="52">SUM(I362:I390)</f>
        <v>17.465625000000006</v>
      </c>
      <c r="J391" s="79">
        <f t="shared" si="50"/>
        <v>23.287499999999994</v>
      </c>
      <c r="K391" s="43" t="str">
        <f t="shared" si="51"/>
        <v>MEJORA</v>
      </c>
    </row>
    <row r="392" spans="1:11" x14ac:dyDescent="0.25">
      <c r="A392" s="47" t="s">
        <v>153</v>
      </c>
      <c r="B392" s="47" t="s">
        <v>177</v>
      </c>
      <c r="C392" s="47">
        <v>45917</v>
      </c>
      <c r="D392" s="35" t="s">
        <v>148</v>
      </c>
      <c r="E392" s="38" t="s">
        <v>139</v>
      </c>
      <c r="F392" s="9" t="s">
        <v>108</v>
      </c>
      <c r="G392" s="75" cm="1">
        <f t="array" ref="G392:G420">TRANSPOSE(DIAGNÓSTICO!P89:AR89)</f>
        <v>0</v>
      </c>
      <c r="H392" s="30">
        <f>IFERROR((G392/$G$421),0)</f>
        <v>0</v>
      </c>
      <c r="I392" s="82">
        <f>I122</f>
        <v>1.2937500000000002</v>
      </c>
      <c r="J392" s="82">
        <f>((G32)-(I122+I212+I302+I392))</f>
        <v>1.7249999999999996</v>
      </c>
      <c r="K392" s="30" t="str">
        <f>IF(G392&lt;=J392,$N$1,IF(G392=G362,$M$1,IF(G392&gt;G362,$O$1,0)))</f>
        <v>MEJORA</v>
      </c>
    </row>
    <row r="393" spans="1:11" x14ac:dyDescent="0.25">
      <c r="A393" s="47" t="s">
        <v>153</v>
      </c>
      <c r="B393" s="47" t="s">
        <v>177</v>
      </c>
      <c r="C393" s="47">
        <v>45917</v>
      </c>
      <c r="D393" s="35" t="s">
        <v>148</v>
      </c>
      <c r="E393" s="38" t="s">
        <v>139</v>
      </c>
      <c r="F393" s="9" t="s">
        <v>109</v>
      </c>
      <c r="G393" s="75">
        <v>0</v>
      </c>
      <c r="H393" s="30">
        <f t="shared" ref="H393:H420" si="53">IFERROR((G393/$G$421),0)</f>
        <v>0</v>
      </c>
      <c r="I393" s="82">
        <f t="shared" ref="I393:I420" si="54">I123</f>
        <v>1.9406250000000003</v>
      </c>
      <c r="J393" s="82">
        <f t="shared" ref="J393:J421" si="55">((G33)-(I123+I213+I303+I393))</f>
        <v>2.5875000000000004</v>
      </c>
      <c r="K393" s="30" t="str">
        <f t="shared" ref="K393:K451" si="56">IF(G393&lt;=J393,$N$1,IF(G393=G363,$M$1,IF(G393&gt;G363,$O$1,0)))</f>
        <v>MEJORA</v>
      </c>
    </row>
    <row r="394" spans="1:11" x14ac:dyDescent="0.25">
      <c r="A394" s="47" t="s">
        <v>153</v>
      </c>
      <c r="B394" s="47" t="s">
        <v>177</v>
      </c>
      <c r="C394" s="47">
        <v>45917</v>
      </c>
      <c r="D394" s="35" t="s">
        <v>148</v>
      </c>
      <c r="E394" s="38" t="s">
        <v>139</v>
      </c>
      <c r="F394" s="9" t="s">
        <v>110</v>
      </c>
      <c r="G394" s="75">
        <v>0</v>
      </c>
      <c r="H394" s="30">
        <f t="shared" si="53"/>
        <v>0</v>
      </c>
      <c r="I394" s="82">
        <f t="shared" si="54"/>
        <v>0.64687500000000009</v>
      </c>
      <c r="J394" s="82">
        <f t="shared" si="55"/>
        <v>0.86249999999999982</v>
      </c>
      <c r="K394" s="30" t="str">
        <f t="shared" si="56"/>
        <v>MEJORA</v>
      </c>
    </row>
    <row r="395" spans="1:11" x14ac:dyDescent="0.25">
      <c r="A395" s="47" t="s">
        <v>153</v>
      </c>
      <c r="B395" s="47" t="s">
        <v>177</v>
      </c>
      <c r="C395" s="47">
        <v>45917</v>
      </c>
      <c r="D395" s="35" t="s">
        <v>148</v>
      </c>
      <c r="E395" s="38" t="s">
        <v>139</v>
      </c>
      <c r="F395" s="9" t="s">
        <v>111</v>
      </c>
      <c r="G395" s="75">
        <v>0</v>
      </c>
      <c r="H395" s="30">
        <f t="shared" si="53"/>
        <v>0</v>
      </c>
      <c r="I395" s="82">
        <f t="shared" si="54"/>
        <v>1.2937500000000002</v>
      </c>
      <c r="J395" s="82">
        <f t="shared" si="55"/>
        <v>1.7249999999999996</v>
      </c>
      <c r="K395" s="30" t="str">
        <f t="shared" si="56"/>
        <v>MEJORA</v>
      </c>
    </row>
    <row r="396" spans="1:11" x14ac:dyDescent="0.25">
      <c r="A396" s="47" t="s">
        <v>153</v>
      </c>
      <c r="B396" s="47" t="s">
        <v>177</v>
      </c>
      <c r="C396" s="47">
        <v>45917</v>
      </c>
      <c r="D396" s="35" t="s">
        <v>148</v>
      </c>
      <c r="E396" s="38" t="s">
        <v>139</v>
      </c>
      <c r="F396" s="9" t="s">
        <v>112</v>
      </c>
      <c r="G396" s="75">
        <v>0</v>
      </c>
      <c r="H396" s="30">
        <f t="shared" si="53"/>
        <v>0</v>
      </c>
      <c r="I396" s="82">
        <f t="shared" si="54"/>
        <v>0.64687500000000009</v>
      </c>
      <c r="J396" s="82">
        <f t="shared" si="55"/>
        <v>0.86249999999999982</v>
      </c>
      <c r="K396" s="30" t="str">
        <f t="shared" si="56"/>
        <v>MEJORA</v>
      </c>
    </row>
    <row r="397" spans="1:11" x14ac:dyDescent="0.25">
      <c r="A397" s="47" t="s">
        <v>153</v>
      </c>
      <c r="B397" s="47" t="s">
        <v>177</v>
      </c>
      <c r="C397" s="47">
        <v>45917</v>
      </c>
      <c r="D397" s="35" t="s">
        <v>148</v>
      </c>
      <c r="E397" s="38" t="s">
        <v>139</v>
      </c>
      <c r="F397" s="9" t="s">
        <v>113</v>
      </c>
      <c r="G397" s="75">
        <v>0</v>
      </c>
      <c r="H397" s="30">
        <f t="shared" si="53"/>
        <v>0</v>
      </c>
      <c r="I397" s="82">
        <f t="shared" si="54"/>
        <v>1.2937500000000002</v>
      </c>
      <c r="J397" s="82">
        <f t="shared" si="55"/>
        <v>1.7249999999999996</v>
      </c>
      <c r="K397" s="30" t="str">
        <f t="shared" si="56"/>
        <v>MEJORA</v>
      </c>
    </row>
    <row r="398" spans="1:11" x14ac:dyDescent="0.25">
      <c r="A398" s="47" t="s">
        <v>153</v>
      </c>
      <c r="B398" s="47" t="s">
        <v>177</v>
      </c>
      <c r="C398" s="47">
        <v>45917</v>
      </c>
      <c r="D398" s="35" t="s">
        <v>148</v>
      </c>
      <c r="E398" s="38" t="s">
        <v>139</v>
      </c>
      <c r="F398" s="9" t="s">
        <v>114</v>
      </c>
      <c r="G398" s="75">
        <v>0</v>
      </c>
      <c r="H398" s="30">
        <f t="shared" si="53"/>
        <v>0</v>
      </c>
      <c r="I398" s="82">
        <f t="shared" si="54"/>
        <v>1.2937500000000002</v>
      </c>
      <c r="J398" s="82">
        <f t="shared" si="55"/>
        <v>1.7249999999999996</v>
      </c>
      <c r="K398" s="30" t="str">
        <f t="shared" si="56"/>
        <v>MEJORA</v>
      </c>
    </row>
    <row r="399" spans="1:11" x14ac:dyDescent="0.25">
      <c r="A399" s="47" t="s">
        <v>153</v>
      </c>
      <c r="B399" s="47" t="s">
        <v>177</v>
      </c>
      <c r="C399" s="47">
        <v>45917</v>
      </c>
      <c r="D399" s="35" t="s">
        <v>148</v>
      </c>
      <c r="E399" s="38" t="s">
        <v>139</v>
      </c>
      <c r="F399" s="9" t="s">
        <v>115</v>
      </c>
      <c r="G399" s="75">
        <v>0</v>
      </c>
      <c r="H399" s="30">
        <f t="shared" si="53"/>
        <v>0</v>
      </c>
      <c r="I399" s="82">
        <f t="shared" si="54"/>
        <v>0.64687500000000009</v>
      </c>
      <c r="J399" s="82">
        <f t="shared" si="55"/>
        <v>0.86249999999999982</v>
      </c>
      <c r="K399" s="30" t="str">
        <f t="shared" si="56"/>
        <v>MEJORA</v>
      </c>
    </row>
    <row r="400" spans="1:11" x14ac:dyDescent="0.25">
      <c r="A400" s="47" t="s">
        <v>153</v>
      </c>
      <c r="B400" s="47" t="s">
        <v>177</v>
      </c>
      <c r="C400" s="47">
        <v>45917</v>
      </c>
      <c r="D400" s="35" t="s">
        <v>148</v>
      </c>
      <c r="E400" s="38" t="s">
        <v>139</v>
      </c>
      <c r="F400" s="9" t="s">
        <v>116</v>
      </c>
      <c r="G400" s="75">
        <v>0</v>
      </c>
      <c r="H400" s="30">
        <f t="shared" si="53"/>
        <v>0</v>
      </c>
      <c r="I400" s="82">
        <f t="shared" si="54"/>
        <v>0.64687500000000009</v>
      </c>
      <c r="J400" s="82">
        <f t="shared" si="55"/>
        <v>0.86249999999999982</v>
      </c>
      <c r="K400" s="30" t="str">
        <f t="shared" si="56"/>
        <v>MEJORA</v>
      </c>
    </row>
    <row r="401" spans="1:11" x14ac:dyDescent="0.25">
      <c r="A401" s="47" t="s">
        <v>153</v>
      </c>
      <c r="B401" s="47" t="s">
        <v>177</v>
      </c>
      <c r="C401" s="47">
        <v>45917</v>
      </c>
      <c r="D401" s="35" t="s">
        <v>148</v>
      </c>
      <c r="E401" s="38" t="s">
        <v>139</v>
      </c>
      <c r="F401" s="9" t="s">
        <v>117</v>
      </c>
      <c r="G401" s="75">
        <v>0</v>
      </c>
      <c r="H401" s="30">
        <f t="shared" si="53"/>
        <v>0</v>
      </c>
      <c r="I401" s="82">
        <f t="shared" si="54"/>
        <v>0.64687500000000009</v>
      </c>
      <c r="J401" s="82">
        <f t="shared" si="55"/>
        <v>0.86249999999999982</v>
      </c>
      <c r="K401" s="30" t="str">
        <f t="shared" si="56"/>
        <v>MEJORA</v>
      </c>
    </row>
    <row r="402" spans="1:11" x14ac:dyDescent="0.25">
      <c r="A402" s="47" t="s">
        <v>153</v>
      </c>
      <c r="B402" s="47" t="s">
        <v>177</v>
      </c>
      <c r="C402" s="47">
        <v>45917</v>
      </c>
      <c r="D402" s="36" t="s">
        <v>62</v>
      </c>
      <c r="E402" s="45" t="s">
        <v>139</v>
      </c>
      <c r="F402" s="5" t="s">
        <v>118</v>
      </c>
      <c r="G402" s="75">
        <v>0</v>
      </c>
      <c r="H402" s="30">
        <f t="shared" si="53"/>
        <v>0</v>
      </c>
      <c r="I402" s="82">
        <f t="shared" si="54"/>
        <v>0</v>
      </c>
      <c r="J402" s="82">
        <f t="shared" si="55"/>
        <v>0</v>
      </c>
      <c r="K402" s="30" t="str">
        <f t="shared" si="56"/>
        <v>MEJORA</v>
      </c>
    </row>
    <row r="403" spans="1:11" x14ac:dyDescent="0.25">
      <c r="A403" s="47" t="s">
        <v>153</v>
      </c>
      <c r="B403" s="47" t="s">
        <v>177</v>
      </c>
      <c r="C403" s="47">
        <v>45917</v>
      </c>
      <c r="D403" s="36" t="s">
        <v>62</v>
      </c>
      <c r="E403" s="45" t="s">
        <v>139</v>
      </c>
      <c r="F403" s="5" t="s">
        <v>24</v>
      </c>
      <c r="G403" s="75">
        <v>0</v>
      </c>
      <c r="H403" s="30">
        <f t="shared" si="53"/>
        <v>0</v>
      </c>
      <c r="I403" s="82">
        <f t="shared" si="54"/>
        <v>0</v>
      </c>
      <c r="J403" s="82">
        <f t="shared" si="55"/>
        <v>0</v>
      </c>
      <c r="K403" s="30" t="str">
        <f t="shared" si="56"/>
        <v>MEJORA</v>
      </c>
    </row>
    <row r="404" spans="1:11" x14ac:dyDescent="0.25">
      <c r="A404" s="47" t="s">
        <v>153</v>
      </c>
      <c r="B404" s="47" t="s">
        <v>177</v>
      </c>
      <c r="C404" s="47">
        <v>45917</v>
      </c>
      <c r="D404" s="36" t="s">
        <v>62</v>
      </c>
      <c r="E404" s="45" t="s">
        <v>139</v>
      </c>
      <c r="F404" s="5" t="s">
        <v>25</v>
      </c>
      <c r="G404" s="75">
        <v>0</v>
      </c>
      <c r="H404" s="30">
        <f t="shared" si="53"/>
        <v>0</v>
      </c>
      <c r="I404" s="82">
        <f t="shared" si="54"/>
        <v>0</v>
      </c>
      <c r="J404" s="82">
        <f t="shared" si="55"/>
        <v>0</v>
      </c>
      <c r="K404" s="30" t="str">
        <f t="shared" si="56"/>
        <v>MEJORA</v>
      </c>
    </row>
    <row r="405" spans="1:11" x14ac:dyDescent="0.25">
      <c r="A405" s="47" t="s">
        <v>153</v>
      </c>
      <c r="B405" s="47" t="s">
        <v>177</v>
      </c>
      <c r="C405" s="47">
        <v>45917</v>
      </c>
      <c r="D405" s="36" t="s">
        <v>62</v>
      </c>
      <c r="E405" s="45" t="s">
        <v>139</v>
      </c>
      <c r="F405" s="5" t="s">
        <v>26</v>
      </c>
      <c r="G405" s="75">
        <v>0</v>
      </c>
      <c r="H405" s="30">
        <f t="shared" si="53"/>
        <v>0</v>
      </c>
      <c r="I405" s="82">
        <f t="shared" si="54"/>
        <v>0</v>
      </c>
      <c r="J405" s="82">
        <f t="shared" si="55"/>
        <v>0</v>
      </c>
      <c r="K405" s="30" t="str">
        <f t="shared" si="56"/>
        <v>MEJORA</v>
      </c>
    </row>
    <row r="406" spans="1:11" x14ac:dyDescent="0.25">
      <c r="A406" s="47" t="s">
        <v>153</v>
      </c>
      <c r="B406" s="47" t="s">
        <v>177</v>
      </c>
      <c r="C406" s="47">
        <v>45917</v>
      </c>
      <c r="D406" s="36" t="s">
        <v>62</v>
      </c>
      <c r="E406" s="45" t="s">
        <v>139</v>
      </c>
      <c r="F406" s="5" t="s">
        <v>27</v>
      </c>
      <c r="G406" s="75">
        <v>0</v>
      </c>
      <c r="H406" s="30">
        <f t="shared" si="53"/>
        <v>0</v>
      </c>
      <c r="I406" s="82">
        <f t="shared" si="54"/>
        <v>0</v>
      </c>
      <c r="J406" s="82">
        <f t="shared" si="55"/>
        <v>0</v>
      </c>
      <c r="K406" s="30" t="str">
        <f t="shared" si="56"/>
        <v>MEJORA</v>
      </c>
    </row>
    <row r="407" spans="1:11" x14ac:dyDescent="0.25">
      <c r="A407" s="47" t="s">
        <v>153</v>
      </c>
      <c r="B407" s="47" t="s">
        <v>177</v>
      </c>
      <c r="C407" s="47">
        <v>45917</v>
      </c>
      <c r="D407" s="36" t="s">
        <v>62</v>
      </c>
      <c r="E407" s="45" t="s">
        <v>139</v>
      </c>
      <c r="F407" s="5" t="s">
        <v>28</v>
      </c>
      <c r="G407" s="75">
        <v>0</v>
      </c>
      <c r="H407" s="30">
        <f t="shared" si="53"/>
        <v>0</v>
      </c>
      <c r="I407" s="82">
        <f t="shared" si="54"/>
        <v>0.64687500000000009</v>
      </c>
      <c r="J407" s="82">
        <f t="shared" si="55"/>
        <v>0.86249999999999982</v>
      </c>
      <c r="K407" s="30" t="str">
        <f t="shared" si="56"/>
        <v>MEJORA</v>
      </c>
    </row>
    <row r="408" spans="1:11" x14ac:dyDescent="0.25">
      <c r="A408" s="47" t="s">
        <v>153</v>
      </c>
      <c r="B408" s="47" t="s">
        <v>177</v>
      </c>
      <c r="C408" s="47">
        <v>45917</v>
      </c>
      <c r="D408" s="36" t="s">
        <v>62</v>
      </c>
      <c r="E408" s="45" t="s">
        <v>139</v>
      </c>
      <c r="F408" s="5" t="s">
        <v>119</v>
      </c>
      <c r="G408" s="75">
        <v>0</v>
      </c>
      <c r="H408" s="30">
        <f t="shared" si="53"/>
        <v>0</v>
      </c>
      <c r="I408" s="82">
        <f t="shared" si="54"/>
        <v>0</v>
      </c>
      <c r="J408" s="82">
        <f t="shared" si="55"/>
        <v>0</v>
      </c>
      <c r="K408" s="30" t="str">
        <f t="shared" si="56"/>
        <v>MEJORA</v>
      </c>
    </row>
    <row r="409" spans="1:11" x14ac:dyDescent="0.25">
      <c r="A409" s="47" t="s">
        <v>153</v>
      </c>
      <c r="B409" s="47" t="s">
        <v>177</v>
      </c>
      <c r="C409" s="47">
        <v>45917</v>
      </c>
      <c r="D409" s="36" t="s">
        <v>62</v>
      </c>
      <c r="E409" s="45" t="s">
        <v>139</v>
      </c>
      <c r="F409" s="5" t="s">
        <v>120</v>
      </c>
      <c r="G409" s="75">
        <v>0</v>
      </c>
      <c r="H409" s="30">
        <f t="shared" si="53"/>
        <v>0</v>
      </c>
      <c r="I409" s="82">
        <f t="shared" si="54"/>
        <v>0</v>
      </c>
      <c r="J409" s="82">
        <f t="shared" si="55"/>
        <v>0</v>
      </c>
      <c r="K409" s="30" t="str">
        <f t="shared" si="56"/>
        <v>MEJORA</v>
      </c>
    </row>
    <row r="410" spans="1:11" x14ac:dyDescent="0.25">
      <c r="A410" s="47" t="s">
        <v>153</v>
      </c>
      <c r="B410" s="47" t="s">
        <v>177</v>
      </c>
      <c r="C410" s="47">
        <v>45917</v>
      </c>
      <c r="D410" s="36" t="s">
        <v>62</v>
      </c>
      <c r="E410" s="45" t="s">
        <v>139</v>
      </c>
      <c r="F410" s="5" t="s">
        <v>121</v>
      </c>
      <c r="G410" s="75">
        <v>0</v>
      </c>
      <c r="H410" s="30">
        <f t="shared" si="53"/>
        <v>0</v>
      </c>
      <c r="I410" s="82">
        <f t="shared" si="54"/>
        <v>0</v>
      </c>
      <c r="J410" s="82">
        <f t="shared" si="55"/>
        <v>0</v>
      </c>
      <c r="K410" s="30" t="str">
        <f t="shared" si="56"/>
        <v>MEJORA</v>
      </c>
    </row>
    <row r="411" spans="1:11" x14ac:dyDescent="0.25">
      <c r="A411" s="47" t="s">
        <v>153</v>
      </c>
      <c r="B411" s="47" t="s">
        <v>177</v>
      </c>
      <c r="C411" s="47">
        <v>45917</v>
      </c>
      <c r="D411" s="36" t="s">
        <v>62</v>
      </c>
      <c r="E411" s="45" t="s">
        <v>139</v>
      </c>
      <c r="F411" s="5" t="s">
        <v>122</v>
      </c>
      <c r="G411" s="75">
        <v>0</v>
      </c>
      <c r="H411" s="30">
        <f t="shared" si="53"/>
        <v>0</v>
      </c>
      <c r="I411" s="82">
        <f t="shared" si="54"/>
        <v>0</v>
      </c>
      <c r="J411" s="82">
        <f t="shared" si="55"/>
        <v>0</v>
      </c>
      <c r="K411" s="30" t="str">
        <f t="shared" si="56"/>
        <v>MEJORA</v>
      </c>
    </row>
    <row r="412" spans="1:11" x14ac:dyDescent="0.25">
      <c r="A412" s="47" t="s">
        <v>153</v>
      </c>
      <c r="B412" s="47" t="s">
        <v>177</v>
      </c>
      <c r="C412" s="47">
        <v>45917</v>
      </c>
      <c r="D412" s="48" t="s">
        <v>150</v>
      </c>
      <c r="E412" s="46" t="s">
        <v>139</v>
      </c>
      <c r="F412" s="10" t="s">
        <v>123</v>
      </c>
      <c r="G412" s="75">
        <v>0</v>
      </c>
      <c r="H412" s="30">
        <f t="shared" si="53"/>
        <v>0</v>
      </c>
      <c r="I412" s="82">
        <f t="shared" si="54"/>
        <v>1.2937500000000002</v>
      </c>
      <c r="J412" s="82">
        <f t="shared" si="55"/>
        <v>1.7249999999999996</v>
      </c>
      <c r="K412" s="30" t="str">
        <f t="shared" si="56"/>
        <v>MEJORA</v>
      </c>
    </row>
    <row r="413" spans="1:11" x14ac:dyDescent="0.25">
      <c r="A413" s="47" t="s">
        <v>153</v>
      </c>
      <c r="B413" s="47" t="s">
        <v>177</v>
      </c>
      <c r="C413" s="47">
        <v>45917</v>
      </c>
      <c r="D413" s="48" t="s">
        <v>150</v>
      </c>
      <c r="E413" s="46" t="s">
        <v>139</v>
      </c>
      <c r="F413" s="10" t="s">
        <v>124</v>
      </c>
      <c r="G413" s="75">
        <v>0</v>
      </c>
      <c r="H413" s="30">
        <f t="shared" si="53"/>
        <v>0</v>
      </c>
      <c r="I413" s="82">
        <f t="shared" si="54"/>
        <v>0</v>
      </c>
      <c r="J413" s="82">
        <f t="shared" si="55"/>
        <v>0</v>
      </c>
      <c r="K413" s="30" t="str">
        <f t="shared" si="56"/>
        <v>MEJORA</v>
      </c>
    </row>
    <row r="414" spans="1:11" x14ac:dyDescent="0.25">
      <c r="A414" s="47" t="s">
        <v>153</v>
      </c>
      <c r="B414" s="47" t="s">
        <v>177</v>
      </c>
      <c r="C414" s="47">
        <v>45917</v>
      </c>
      <c r="D414" s="48" t="s">
        <v>150</v>
      </c>
      <c r="E414" s="46" t="s">
        <v>139</v>
      </c>
      <c r="F414" s="10" t="s">
        <v>125</v>
      </c>
      <c r="G414" s="75">
        <v>0</v>
      </c>
      <c r="H414" s="30">
        <f t="shared" si="53"/>
        <v>0</v>
      </c>
      <c r="I414" s="82">
        <f t="shared" si="54"/>
        <v>0</v>
      </c>
      <c r="J414" s="82">
        <f t="shared" si="55"/>
        <v>0</v>
      </c>
      <c r="K414" s="30" t="str">
        <f t="shared" si="56"/>
        <v>MEJORA</v>
      </c>
    </row>
    <row r="415" spans="1:11" x14ac:dyDescent="0.25">
      <c r="A415" s="47" t="s">
        <v>153</v>
      </c>
      <c r="B415" s="47" t="s">
        <v>177</v>
      </c>
      <c r="C415" s="47">
        <v>45917</v>
      </c>
      <c r="D415" s="48" t="s">
        <v>150</v>
      </c>
      <c r="E415" s="46" t="s">
        <v>139</v>
      </c>
      <c r="F415" s="10" t="s">
        <v>126</v>
      </c>
      <c r="G415" s="75">
        <v>0</v>
      </c>
      <c r="H415" s="30">
        <f t="shared" si="53"/>
        <v>0</v>
      </c>
      <c r="I415" s="82">
        <f t="shared" si="54"/>
        <v>0</v>
      </c>
      <c r="J415" s="82">
        <f t="shared" si="55"/>
        <v>0</v>
      </c>
      <c r="K415" s="30" t="str">
        <f t="shared" si="56"/>
        <v>MEJORA</v>
      </c>
    </row>
    <row r="416" spans="1:11" x14ac:dyDescent="0.25">
      <c r="A416" s="47" t="s">
        <v>153</v>
      </c>
      <c r="B416" s="47" t="s">
        <v>177</v>
      </c>
      <c r="C416" s="47">
        <v>45917</v>
      </c>
      <c r="D416" s="48" t="s">
        <v>150</v>
      </c>
      <c r="E416" s="46" t="s">
        <v>139</v>
      </c>
      <c r="F416" s="10" t="s">
        <v>127</v>
      </c>
      <c r="G416" s="75">
        <v>0</v>
      </c>
      <c r="H416" s="30">
        <f t="shared" si="53"/>
        <v>0</v>
      </c>
      <c r="I416" s="82">
        <f t="shared" si="54"/>
        <v>0</v>
      </c>
      <c r="J416" s="82">
        <f t="shared" si="55"/>
        <v>0</v>
      </c>
      <c r="K416" s="30" t="str">
        <f t="shared" si="56"/>
        <v>MEJORA</v>
      </c>
    </row>
    <row r="417" spans="1:11" x14ac:dyDescent="0.25">
      <c r="A417" s="47" t="s">
        <v>153</v>
      </c>
      <c r="B417" s="47" t="s">
        <v>177</v>
      </c>
      <c r="C417" s="47">
        <v>45917</v>
      </c>
      <c r="D417" s="48" t="s">
        <v>150</v>
      </c>
      <c r="E417" s="46" t="s">
        <v>139</v>
      </c>
      <c r="F417" s="10" t="s">
        <v>30</v>
      </c>
      <c r="G417" s="75">
        <v>0</v>
      </c>
      <c r="H417" s="30">
        <f t="shared" si="53"/>
        <v>0</v>
      </c>
      <c r="I417" s="82">
        <f t="shared" si="54"/>
        <v>0</v>
      </c>
      <c r="J417" s="82">
        <f t="shared" si="55"/>
        <v>0</v>
      </c>
      <c r="K417" s="30" t="str">
        <f t="shared" si="56"/>
        <v>MEJORA</v>
      </c>
    </row>
    <row r="418" spans="1:11" x14ac:dyDescent="0.25">
      <c r="A418" s="47" t="s">
        <v>153</v>
      </c>
      <c r="B418" s="47" t="s">
        <v>177</v>
      </c>
      <c r="C418" s="47">
        <v>45917</v>
      </c>
      <c r="D418" s="36" t="s">
        <v>149</v>
      </c>
      <c r="E418" s="45" t="s">
        <v>139</v>
      </c>
      <c r="F418" s="5" t="s">
        <v>128</v>
      </c>
      <c r="G418" s="75">
        <v>0</v>
      </c>
      <c r="H418" s="30">
        <f t="shared" si="53"/>
        <v>0</v>
      </c>
      <c r="I418" s="82">
        <f t="shared" si="54"/>
        <v>0</v>
      </c>
      <c r="J418" s="82">
        <f t="shared" si="55"/>
        <v>0</v>
      </c>
      <c r="K418" s="30" t="str">
        <f t="shared" si="56"/>
        <v>MEJORA</v>
      </c>
    </row>
    <row r="419" spans="1:11" x14ac:dyDescent="0.25">
      <c r="A419" s="47" t="s">
        <v>153</v>
      </c>
      <c r="B419" s="47" t="s">
        <v>177</v>
      </c>
      <c r="C419" s="47">
        <v>45917</v>
      </c>
      <c r="D419" s="36" t="s">
        <v>149</v>
      </c>
      <c r="E419" s="45" t="s">
        <v>139</v>
      </c>
      <c r="F419" s="5" t="s">
        <v>129</v>
      </c>
      <c r="G419" s="75">
        <v>0</v>
      </c>
      <c r="H419" s="30">
        <f t="shared" si="53"/>
        <v>0</v>
      </c>
      <c r="I419" s="82">
        <f t="shared" si="54"/>
        <v>0</v>
      </c>
      <c r="J419" s="82">
        <f t="shared" si="55"/>
        <v>0</v>
      </c>
      <c r="K419" s="30" t="str">
        <f t="shared" si="56"/>
        <v>MEJORA</v>
      </c>
    </row>
    <row r="420" spans="1:11" x14ac:dyDescent="0.25">
      <c r="A420" s="47" t="s">
        <v>153</v>
      </c>
      <c r="B420" s="47" t="s">
        <v>177</v>
      </c>
      <c r="C420" s="47">
        <v>45917</v>
      </c>
      <c r="D420" s="36" t="s">
        <v>149</v>
      </c>
      <c r="E420" s="45" t="s">
        <v>139</v>
      </c>
      <c r="F420" s="5" t="s">
        <v>31</v>
      </c>
      <c r="G420" s="75">
        <v>0</v>
      </c>
      <c r="H420" s="30">
        <f t="shared" si="53"/>
        <v>0</v>
      </c>
      <c r="I420" s="82">
        <f t="shared" si="54"/>
        <v>0</v>
      </c>
      <c r="J420" s="82">
        <f t="shared" si="55"/>
        <v>0</v>
      </c>
      <c r="K420" s="30" t="str">
        <f t="shared" si="56"/>
        <v>MEJORA</v>
      </c>
    </row>
    <row r="421" spans="1:11" x14ac:dyDescent="0.25">
      <c r="A421" s="39" t="s">
        <v>153</v>
      </c>
      <c r="B421" s="39" t="s">
        <v>177</v>
      </c>
      <c r="C421" s="41">
        <v>45917</v>
      </c>
      <c r="D421" s="42"/>
      <c r="E421" s="39" t="s">
        <v>139</v>
      </c>
      <c r="F421" s="42"/>
      <c r="G421" s="79">
        <f>SUM(G392:G420)</f>
        <v>0</v>
      </c>
      <c r="H421" s="44">
        <f>SUM(H392:H420)</f>
        <v>0</v>
      </c>
      <c r="I421" s="83">
        <f>SUM(I392:I420)</f>
        <v>12.290624999999999</v>
      </c>
      <c r="J421" s="83">
        <f t="shared" si="55"/>
        <v>16.387500000000017</v>
      </c>
      <c r="K421" s="30" t="str">
        <f t="shared" si="56"/>
        <v>MEJORA</v>
      </c>
    </row>
    <row r="422" spans="1:11" x14ac:dyDescent="0.25">
      <c r="A422" s="47" t="s">
        <v>153</v>
      </c>
      <c r="B422" s="47" t="s">
        <v>178</v>
      </c>
      <c r="C422" s="47">
        <v>45917</v>
      </c>
      <c r="D422" s="35" t="s">
        <v>148</v>
      </c>
      <c r="E422" s="38" t="s">
        <v>139</v>
      </c>
      <c r="F422" s="9" t="s">
        <v>108</v>
      </c>
      <c r="G422" s="75" cm="1">
        <f t="array" ref="G422:G450">TRANSPOSE(DIAGNÓSTICO!P95:AR95)</f>
        <v>0</v>
      </c>
      <c r="H422" s="30">
        <f>IFERROR((G422/$G$451),0)</f>
        <v>0</v>
      </c>
      <c r="I422" s="82">
        <f>I152</f>
        <v>0.64687500000000009</v>
      </c>
      <c r="J422" s="82">
        <f>((G62)-(I152+I242+I332+I422))</f>
        <v>0.86249999999999982</v>
      </c>
      <c r="K422" s="30" t="str">
        <f t="shared" si="56"/>
        <v>MEJORA</v>
      </c>
    </row>
    <row r="423" spans="1:11" x14ac:dyDescent="0.25">
      <c r="A423" s="47" t="s">
        <v>153</v>
      </c>
      <c r="B423" s="47" t="s">
        <v>178</v>
      </c>
      <c r="C423" s="47">
        <v>45917</v>
      </c>
      <c r="D423" s="35" t="s">
        <v>148</v>
      </c>
      <c r="E423" s="38" t="s">
        <v>139</v>
      </c>
      <c r="F423" s="9" t="s">
        <v>109</v>
      </c>
      <c r="G423" s="75">
        <v>0</v>
      </c>
      <c r="H423" s="30">
        <f t="shared" ref="H423:H450" si="57">IFERROR((G423/$G$451),0)</f>
        <v>0</v>
      </c>
      <c r="I423" s="82">
        <f t="shared" ref="I423:I450" si="58">I153</f>
        <v>0.64687500000000009</v>
      </c>
      <c r="J423" s="82">
        <f t="shared" ref="J423:J450" si="59">((G63)-(I153+I243+I333+I423))</f>
        <v>0.86249999999999982</v>
      </c>
      <c r="K423" s="30" t="str">
        <f t="shared" si="56"/>
        <v>MEJORA</v>
      </c>
    </row>
    <row r="424" spans="1:11" x14ac:dyDescent="0.25">
      <c r="A424" s="47" t="s">
        <v>153</v>
      </c>
      <c r="B424" s="47" t="s">
        <v>178</v>
      </c>
      <c r="C424" s="47">
        <v>45917</v>
      </c>
      <c r="D424" s="35" t="s">
        <v>148</v>
      </c>
      <c r="E424" s="38" t="s">
        <v>139</v>
      </c>
      <c r="F424" s="9" t="s">
        <v>110</v>
      </c>
      <c r="G424" s="75">
        <v>0</v>
      </c>
      <c r="H424" s="30">
        <f t="shared" si="57"/>
        <v>0</v>
      </c>
      <c r="I424" s="82">
        <f t="shared" si="58"/>
        <v>1.9406250000000003</v>
      </c>
      <c r="J424" s="82">
        <f t="shared" si="59"/>
        <v>2.5875000000000004</v>
      </c>
      <c r="K424" s="30" t="str">
        <f t="shared" si="56"/>
        <v>MEJORA</v>
      </c>
    </row>
    <row r="425" spans="1:11" x14ac:dyDescent="0.25">
      <c r="A425" s="47" t="s">
        <v>153</v>
      </c>
      <c r="B425" s="47" t="s">
        <v>178</v>
      </c>
      <c r="C425" s="47">
        <v>45917</v>
      </c>
      <c r="D425" s="35" t="s">
        <v>148</v>
      </c>
      <c r="E425" s="38" t="s">
        <v>139</v>
      </c>
      <c r="F425" s="9" t="s">
        <v>111</v>
      </c>
      <c r="G425" s="75">
        <v>0</v>
      </c>
      <c r="H425" s="30">
        <f t="shared" si="57"/>
        <v>0</v>
      </c>
      <c r="I425" s="82">
        <f t="shared" si="58"/>
        <v>1.2937500000000002</v>
      </c>
      <c r="J425" s="82">
        <f t="shared" si="59"/>
        <v>1.7249999999999996</v>
      </c>
      <c r="K425" s="30" t="str">
        <f t="shared" si="56"/>
        <v>MEJORA</v>
      </c>
    </row>
    <row r="426" spans="1:11" x14ac:dyDescent="0.25">
      <c r="A426" s="47" t="s">
        <v>153</v>
      </c>
      <c r="B426" s="47" t="s">
        <v>178</v>
      </c>
      <c r="C426" s="47">
        <v>45917</v>
      </c>
      <c r="D426" s="35" t="s">
        <v>148</v>
      </c>
      <c r="E426" s="38" t="s">
        <v>139</v>
      </c>
      <c r="F426" s="9" t="s">
        <v>112</v>
      </c>
      <c r="G426" s="75">
        <v>0</v>
      </c>
      <c r="H426" s="30">
        <f t="shared" si="57"/>
        <v>0</v>
      </c>
      <c r="I426" s="82">
        <f t="shared" si="58"/>
        <v>1.9406250000000003</v>
      </c>
      <c r="J426" s="82">
        <f t="shared" si="59"/>
        <v>2.5875000000000004</v>
      </c>
      <c r="K426" s="30" t="str">
        <f t="shared" si="56"/>
        <v>MEJORA</v>
      </c>
    </row>
    <row r="427" spans="1:11" x14ac:dyDescent="0.25">
      <c r="A427" s="47" t="s">
        <v>153</v>
      </c>
      <c r="B427" s="47" t="s">
        <v>178</v>
      </c>
      <c r="C427" s="47">
        <v>45917</v>
      </c>
      <c r="D427" s="35" t="s">
        <v>148</v>
      </c>
      <c r="E427" s="38" t="s">
        <v>139</v>
      </c>
      <c r="F427" s="9" t="s">
        <v>113</v>
      </c>
      <c r="G427" s="75">
        <v>0</v>
      </c>
      <c r="H427" s="30">
        <f t="shared" si="57"/>
        <v>0</v>
      </c>
      <c r="I427" s="82">
        <f t="shared" si="58"/>
        <v>1.9406250000000003</v>
      </c>
      <c r="J427" s="82">
        <f t="shared" si="59"/>
        <v>2.5875000000000004</v>
      </c>
      <c r="K427" s="30" t="str">
        <f t="shared" si="56"/>
        <v>MEJORA</v>
      </c>
    </row>
    <row r="428" spans="1:11" x14ac:dyDescent="0.25">
      <c r="A428" s="47" t="s">
        <v>153</v>
      </c>
      <c r="B428" s="47" t="s">
        <v>178</v>
      </c>
      <c r="C428" s="47">
        <v>45917</v>
      </c>
      <c r="D428" s="35" t="s">
        <v>148</v>
      </c>
      <c r="E428" s="38" t="s">
        <v>139</v>
      </c>
      <c r="F428" s="9" t="s">
        <v>114</v>
      </c>
      <c r="G428" s="75">
        <v>0</v>
      </c>
      <c r="H428" s="30">
        <f t="shared" si="57"/>
        <v>0</v>
      </c>
      <c r="I428" s="82">
        <f t="shared" si="58"/>
        <v>1.9406250000000003</v>
      </c>
      <c r="J428" s="82">
        <f t="shared" si="59"/>
        <v>2.5875000000000004</v>
      </c>
      <c r="K428" s="30" t="str">
        <f t="shared" si="56"/>
        <v>MEJORA</v>
      </c>
    </row>
    <row r="429" spans="1:11" x14ac:dyDescent="0.25">
      <c r="A429" s="47" t="s">
        <v>153</v>
      </c>
      <c r="B429" s="47" t="s">
        <v>178</v>
      </c>
      <c r="C429" s="47">
        <v>45917</v>
      </c>
      <c r="D429" s="35" t="s">
        <v>148</v>
      </c>
      <c r="E429" s="38" t="s">
        <v>139</v>
      </c>
      <c r="F429" s="9" t="s">
        <v>115</v>
      </c>
      <c r="G429" s="75">
        <v>0</v>
      </c>
      <c r="H429" s="30">
        <f t="shared" si="57"/>
        <v>0</v>
      </c>
      <c r="I429" s="82">
        <f t="shared" si="58"/>
        <v>0</v>
      </c>
      <c r="J429" s="82">
        <f t="shared" si="59"/>
        <v>0</v>
      </c>
      <c r="K429" s="30" t="str">
        <f t="shared" si="56"/>
        <v>MEJORA</v>
      </c>
    </row>
    <row r="430" spans="1:11" x14ac:dyDescent="0.25">
      <c r="A430" s="47" t="s">
        <v>153</v>
      </c>
      <c r="B430" s="47" t="s">
        <v>178</v>
      </c>
      <c r="C430" s="47">
        <v>45917</v>
      </c>
      <c r="D430" s="35" t="s">
        <v>148</v>
      </c>
      <c r="E430" s="38" t="s">
        <v>139</v>
      </c>
      <c r="F430" s="9" t="s">
        <v>116</v>
      </c>
      <c r="G430" s="75">
        <v>0</v>
      </c>
      <c r="H430" s="30">
        <f t="shared" si="57"/>
        <v>0</v>
      </c>
      <c r="I430" s="82">
        <f t="shared" si="58"/>
        <v>0</v>
      </c>
      <c r="J430" s="82">
        <f t="shared" si="59"/>
        <v>0</v>
      </c>
      <c r="K430" s="30" t="str">
        <f t="shared" si="56"/>
        <v>MEJORA</v>
      </c>
    </row>
    <row r="431" spans="1:11" x14ac:dyDescent="0.25">
      <c r="A431" s="47" t="s">
        <v>153</v>
      </c>
      <c r="B431" s="47" t="s">
        <v>178</v>
      </c>
      <c r="C431" s="47">
        <v>45917</v>
      </c>
      <c r="D431" s="35" t="s">
        <v>148</v>
      </c>
      <c r="E431" s="38" t="s">
        <v>139</v>
      </c>
      <c r="F431" s="9" t="s">
        <v>117</v>
      </c>
      <c r="G431" s="75">
        <v>0</v>
      </c>
      <c r="H431" s="30">
        <f t="shared" si="57"/>
        <v>0</v>
      </c>
      <c r="I431" s="82">
        <f t="shared" si="58"/>
        <v>0</v>
      </c>
      <c r="J431" s="82">
        <f t="shared" si="59"/>
        <v>0</v>
      </c>
      <c r="K431" s="30" t="str">
        <f t="shared" si="56"/>
        <v>MEJORA</v>
      </c>
    </row>
    <row r="432" spans="1:11" x14ac:dyDescent="0.25">
      <c r="A432" s="47" t="s">
        <v>153</v>
      </c>
      <c r="B432" s="47" t="s">
        <v>178</v>
      </c>
      <c r="C432" s="47">
        <v>45917</v>
      </c>
      <c r="D432" s="36" t="s">
        <v>62</v>
      </c>
      <c r="E432" s="45" t="s">
        <v>139</v>
      </c>
      <c r="F432" s="5" t="s">
        <v>118</v>
      </c>
      <c r="G432" s="75">
        <v>0</v>
      </c>
      <c r="H432" s="30">
        <f t="shared" si="57"/>
        <v>0</v>
      </c>
      <c r="I432" s="82">
        <f t="shared" si="58"/>
        <v>0.64687500000000009</v>
      </c>
      <c r="J432" s="82">
        <f t="shared" si="59"/>
        <v>0.86249999999999982</v>
      </c>
      <c r="K432" s="30" t="str">
        <f t="shared" si="56"/>
        <v>MEJORA</v>
      </c>
    </row>
    <row r="433" spans="1:11" x14ac:dyDescent="0.25">
      <c r="A433" s="47" t="s">
        <v>153</v>
      </c>
      <c r="B433" s="47" t="s">
        <v>178</v>
      </c>
      <c r="C433" s="47">
        <v>45917</v>
      </c>
      <c r="D433" s="36" t="s">
        <v>62</v>
      </c>
      <c r="E433" s="45" t="s">
        <v>139</v>
      </c>
      <c r="F433" s="5" t="s">
        <v>24</v>
      </c>
      <c r="G433" s="75">
        <v>0</v>
      </c>
      <c r="H433" s="30">
        <f t="shared" si="57"/>
        <v>0</v>
      </c>
      <c r="I433" s="82">
        <f t="shared" si="58"/>
        <v>0.64687500000000009</v>
      </c>
      <c r="J433" s="82">
        <f t="shared" si="59"/>
        <v>0.86249999999999982</v>
      </c>
      <c r="K433" s="30" t="str">
        <f t="shared" si="56"/>
        <v>MEJORA</v>
      </c>
    </row>
    <row r="434" spans="1:11" x14ac:dyDescent="0.25">
      <c r="A434" s="47" t="s">
        <v>153</v>
      </c>
      <c r="B434" s="47" t="s">
        <v>178</v>
      </c>
      <c r="C434" s="47">
        <v>45917</v>
      </c>
      <c r="D434" s="36" t="s">
        <v>62</v>
      </c>
      <c r="E434" s="45" t="s">
        <v>139</v>
      </c>
      <c r="F434" s="5" t="s">
        <v>25</v>
      </c>
      <c r="G434" s="75">
        <v>0</v>
      </c>
      <c r="H434" s="30">
        <f t="shared" si="57"/>
        <v>0</v>
      </c>
      <c r="I434" s="82">
        <f t="shared" si="58"/>
        <v>0</v>
      </c>
      <c r="J434" s="82">
        <f t="shared" si="59"/>
        <v>0</v>
      </c>
      <c r="K434" s="30" t="str">
        <f t="shared" si="56"/>
        <v>MEJORA</v>
      </c>
    </row>
    <row r="435" spans="1:11" x14ac:dyDescent="0.25">
      <c r="A435" s="47" t="s">
        <v>153</v>
      </c>
      <c r="B435" s="47" t="s">
        <v>178</v>
      </c>
      <c r="C435" s="47">
        <v>45917</v>
      </c>
      <c r="D435" s="36" t="s">
        <v>62</v>
      </c>
      <c r="E435" s="45" t="s">
        <v>139</v>
      </c>
      <c r="F435" s="5" t="s">
        <v>26</v>
      </c>
      <c r="G435" s="75">
        <v>0</v>
      </c>
      <c r="H435" s="30">
        <f t="shared" si="57"/>
        <v>0</v>
      </c>
      <c r="I435" s="82">
        <f t="shared" si="58"/>
        <v>0.64687500000000009</v>
      </c>
      <c r="J435" s="82">
        <f t="shared" si="59"/>
        <v>0.86249999999999982</v>
      </c>
      <c r="K435" s="30" t="str">
        <f t="shared" si="56"/>
        <v>MEJORA</v>
      </c>
    </row>
    <row r="436" spans="1:11" x14ac:dyDescent="0.25">
      <c r="A436" s="47" t="s">
        <v>153</v>
      </c>
      <c r="B436" s="47" t="s">
        <v>178</v>
      </c>
      <c r="C436" s="47">
        <v>45917</v>
      </c>
      <c r="D436" s="36" t="s">
        <v>62</v>
      </c>
      <c r="E436" s="45" t="s">
        <v>139</v>
      </c>
      <c r="F436" s="5" t="s">
        <v>27</v>
      </c>
      <c r="G436" s="75">
        <v>0</v>
      </c>
      <c r="H436" s="30">
        <f t="shared" si="57"/>
        <v>0</v>
      </c>
      <c r="I436" s="82">
        <f t="shared" si="58"/>
        <v>0</v>
      </c>
      <c r="J436" s="82">
        <f t="shared" si="59"/>
        <v>0</v>
      </c>
      <c r="K436" s="30" t="str">
        <f t="shared" si="56"/>
        <v>MEJORA</v>
      </c>
    </row>
    <row r="437" spans="1:11" x14ac:dyDescent="0.25">
      <c r="A437" s="47" t="s">
        <v>153</v>
      </c>
      <c r="B437" s="47" t="s">
        <v>178</v>
      </c>
      <c r="C437" s="47">
        <v>45917</v>
      </c>
      <c r="D437" s="36" t="s">
        <v>62</v>
      </c>
      <c r="E437" s="45" t="s">
        <v>139</v>
      </c>
      <c r="F437" s="5" t="s">
        <v>28</v>
      </c>
      <c r="G437" s="75">
        <v>0</v>
      </c>
      <c r="H437" s="30">
        <f t="shared" si="57"/>
        <v>0</v>
      </c>
      <c r="I437" s="82">
        <f t="shared" si="58"/>
        <v>1.2937500000000002</v>
      </c>
      <c r="J437" s="82">
        <f t="shared" si="59"/>
        <v>1.7249999999999996</v>
      </c>
      <c r="K437" s="30" t="str">
        <f t="shared" si="56"/>
        <v>MEJORA</v>
      </c>
    </row>
    <row r="438" spans="1:11" x14ac:dyDescent="0.25">
      <c r="A438" s="47" t="s">
        <v>153</v>
      </c>
      <c r="B438" s="47" t="s">
        <v>178</v>
      </c>
      <c r="C438" s="47">
        <v>45917</v>
      </c>
      <c r="D438" s="36" t="s">
        <v>62</v>
      </c>
      <c r="E438" s="45" t="s">
        <v>139</v>
      </c>
      <c r="F438" s="5" t="s">
        <v>119</v>
      </c>
      <c r="G438" s="75">
        <v>0</v>
      </c>
      <c r="H438" s="30">
        <f t="shared" si="57"/>
        <v>0</v>
      </c>
      <c r="I438" s="82">
        <f t="shared" si="58"/>
        <v>1.9406250000000003</v>
      </c>
      <c r="J438" s="82">
        <f t="shared" si="59"/>
        <v>2.5875000000000004</v>
      </c>
      <c r="K438" s="30" t="str">
        <f t="shared" si="56"/>
        <v>MEJORA</v>
      </c>
    </row>
    <row r="439" spans="1:11" x14ac:dyDescent="0.25">
      <c r="A439" s="47" t="s">
        <v>153</v>
      </c>
      <c r="B439" s="47" t="s">
        <v>178</v>
      </c>
      <c r="C439" s="47">
        <v>45917</v>
      </c>
      <c r="D439" s="36" t="s">
        <v>62</v>
      </c>
      <c r="E439" s="45" t="s">
        <v>139</v>
      </c>
      <c r="F439" s="5" t="s">
        <v>120</v>
      </c>
      <c r="G439" s="75">
        <v>0</v>
      </c>
      <c r="H439" s="30">
        <f t="shared" si="57"/>
        <v>0</v>
      </c>
      <c r="I439" s="82">
        <f t="shared" si="58"/>
        <v>0</v>
      </c>
      <c r="J439" s="82">
        <f t="shared" si="59"/>
        <v>0</v>
      </c>
      <c r="K439" s="30" t="str">
        <f t="shared" si="56"/>
        <v>MEJORA</v>
      </c>
    </row>
    <row r="440" spans="1:11" x14ac:dyDescent="0.25">
      <c r="A440" s="47" t="s">
        <v>153</v>
      </c>
      <c r="B440" s="47" t="s">
        <v>178</v>
      </c>
      <c r="C440" s="47">
        <v>45917</v>
      </c>
      <c r="D440" s="36" t="s">
        <v>62</v>
      </c>
      <c r="E440" s="45" t="s">
        <v>139</v>
      </c>
      <c r="F440" s="5" t="s">
        <v>121</v>
      </c>
      <c r="G440" s="75">
        <v>0</v>
      </c>
      <c r="H440" s="30">
        <f t="shared" si="57"/>
        <v>0</v>
      </c>
      <c r="I440" s="82">
        <f t="shared" si="58"/>
        <v>0</v>
      </c>
      <c r="J440" s="82">
        <f t="shared" si="59"/>
        <v>0</v>
      </c>
      <c r="K440" s="30" t="str">
        <f t="shared" si="56"/>
        <v>MEJORA</v>
      </c>
    </row>
    <row r="441" spans="1:11" x14ac:dyDescent="0.25">
      <c r="A441" s="47" t="s">
        <v>153</v>
      </c>
      <c r="B441" s="47" t="s">
        <v>178</v>
      </c>
      <c r="C441" s="47">
        <v>45917</v>
      </c>
      <c r="D441" s="36" t="s">
        <v>62</v>
      </c>
      <c r="E441" s="45" t="s">
        <v>139</v>
      </c>
      <c r="F441" s="5" t="s">
        <v>122</v>
      </c>
      <c r="G441" s="75">
        <v>0</v>
      </c>
      <c r="H441" s="30">
        <f t="shared" si="57"/>
        <v>0</v>
      </c>
      <c r="I441" s="82">
        <f t="shared" si="58"/>
        <v>0</v>
      </c>
      <c r="J441" s="82">
        <f t="shared" si="59"/>
        <v>0</v>
      </c>
      <c r="K441" s="30" t="str">
        <f t="shared" si="56"/>
        <v>MEJORA</v>
      </c>
    </row>
    <row r="442" spans="1:11" x14ac:dyDescent="0.25">
      <c r="A442" s="47" t="s">
        <v>153</v>
      </c>
      <c r="B442" s="47" t="s">
        <v>178</v>
      </c>
      <c r="C442" s="47">
        <v>45917</v>
      </c>
      <c r="D442" s="48" t="s">
        <v>150</v>
      </c>
      <c r="E442" s="46" t="s">
        <v>139</v>
      </c>
      <c r="F442" s="10" t="s">
        <v>123</v>
      </c>
      <c r="G442" s="75">
        <v>0</v>
      </c>
      <c r="H442" s="30">
        <f t="shared" si="57"/>
        <v>0</v>
      </c>
      <c r="I442" s="82">
        <f t="shared" si="58"/>
        <v>1.2937500000000002</v>
      </c>
      <c r="J442" s="82">
        <f t="shared" si="59"/>
        <v>1.7249999999999996</v>
      </c>
      <c r="K442" s="30" t="str">
        <f t="shared" si="56"/>
        <v>MEJORA</v>
      </c>
    </row>
    <row r="443" spans="1:11" x14ac:dyDescent="0.25">
      <c r="A443" s="47" t="s">
        <v>153</v>
      </c>
      <c r="B443" s="47" t="s">
        <v>178</v>
      </c>
      <c r="C443" s="47">
        <v>45917</v>
      </c>
      <c r="D443" s="48" t="s">
        <v>150</v>
      </c>
      <c r="E443" s="46" t="s">
        <v>139</v>
      </c>
      <c r="F443" s="10" t="s">
        <v>124</v>
      </c>
      <c r="G443" s="75">
        <v>0</v>
      </c>
      <c r="H443" s="30">
        <f t="shared" si="57"/>
        <v>0</v>
      </c>
      <c r="I443" s="82">
        <f t="shared" si="58"/>
        <v>0</v>
      </c>
      <c r="J443" s="82">
        <f t="shared" si="59"/>
        <v>0</v>
      </c>
      <c r="K443" s="30" t="str">
        <f t="shared" si="56"/>
        <v>MEJORA</v>
      </c>
    </row>
    <row r="444" spans="1:11" x14ac:dyDescent="0.25">
      <c r="A444" s="47" t="s">
        <v>153</v>
      </c>
      <c r="B444" s="47" t="s">
        <v>178</v>
      </c>
      <c r="C444" s="47">
        <v>45917</v>
      </c>
      <c r="D444" s="48" t="s">
        <v>150</v>
      </c>
      <c r="E444" s="46" t="s">
        <v>139</v>
      </c>
      <c r="F444" s="10" t="s">
        <v>125</v>
      </c>
      <c r="G444" s="75">
        <v>0</v>
      </c>
      <c r="H444" s="30">
        <f t="shared" si="57"/>
        <v>0</v>
      </c>
      <c r="I444" s="82">
        <f t="shared" si="58"/>
        <v>0</v>
      </c>
      <c r="J444" s="82">
        <f t="shared" si="59"/>
        <v>0</v>
      </c>
      <c r="K444" s="30" t="str">
        <f t="shared" si="56"/>
        <v>MEJORA</v>
      </c>
    </row>
    <row r="445" spans="1:11" x14ac:dyDescent="0.25">
      <c r="A445" s="47" t="s">
        <v>153</v>
      </c>
      <c r="B445" s="47" t="s">
        <v>178</v>
      </c>
      <c r="C445" s="47">
        <v>45917</v>
      </c>
      <c r="D445" s="48" t="s">
        <v>150</v>
      </c>
      <c r="E445" s="46" t="s">
        <v>139</v>
      </c>
      <c r="F445" s="10" t="s">
        <v>126</v>
      </c>
      <c r="G445" s="75">
        <v>0</v>
      </c>
      <c r="H445" s="30">
        <f t="shared" si="57"/>
        <v>0</v>
      </c>
      <c r="I445" s="82">
        <f t="shared" si="58"/>
        <v>0</v>
      </c>
      <c r="J445" s="82">
        <f t="shared" si="59"/>
        <v>0</v>
      </c>
      <c r="K445" s="30" t="str">
        <f t="shared" si="56"/>
        <v>MEJORA</v>
      </c>
    </row>
    <row r="446" spans="1:11" x14ac:dyDescent="0.25">
      <c r="A446" s="47" t="s">
        <v>153</v>
      </c>
      <c r="B446" s="47" t="s">
        <v>178</v>
      </c>
      <c r="C446" s="47">
        <v>45917</v>
      </c>
      <c r="D446" s="48" t="s">
        <v>150</v>
      </c>
      <c r="E446" s="46" t="s">
        <v>139</v>
      </c>
      <c r="F446" s="10" t="s">
        <v>127</v>
      </c>
      <c r="G446" s="75">
        <v>0</v>
      </c>
      <c r="H446" s="30">
        <f t="shared" si="57"/>
        <v>0</v>
      </c>
      <c r="I446" s="82">
        <f t="shared" si="58"/>
        <v>0</v>
      </c>
      <c r="J446" s="82">
        <f t="shared" si="59"/>
        <v>0</v>
      </c>
      <c r="K446" s="30" t="str">
        <f t="shared" si="56"/>
        <v>MEJORA</v>
      </c>
    </row>
    <row r="447" spans="1:11" x14ac:dyDescent="0.25">
      <c r="A447" s="47" t="s">
        <v>153</v>
      </c>
      <c r="B447" s="47" t="s">
        <v>178</v>
      </c>
      <c r="C447" s="47">
        <v>45917</v>
      </c>
      <c r="D447" s="48" t="s">
        <v>150</v>
      </c>
      <c r="E447" s="46" t="s">
        <v>139</v>
      </c>
      <c r="F447" s="10" t="s">
        <v>30</v>
      </c>
      <c r="G447" s="75">
        <v>0</v>
      </c>
      <c r="H447" s="30">
        <f t="shared" si="57"/>
        <v>0</v>
      </c>
      <c r="I447" s="82">
        <f t="shared" si="58"/>
        <v>0</v>
      </c>
      <c r="J447" s="82">
        <f t="shared" si="59"/>
        <v>0</v>
      </c>
      <c r="K447" s="30" t="str">
        <f t="shared" si="56"/>
        <v>MEJORA</v>
      </c>
    </row>
    <row r="448" spans="1:11" x14ac:dyDescent="0.25">
      <c r="A448" s="47" t="s">
        <v>153</v>
      </c>
      <c r="B448" s="47" t="s">
        <v>178</v>
      </c>
      <c r="C448" s="47">
        <v>45917</v>
      </c>
      <c r="D448" s="36" t="s">
        <v>149</v>
      </c>
      <c r="E448" s="45" t="s">
        <v>139</v>
      </c>
      <c r="F448" s="5" t="s">
        <v>128</v>
      </c>
      <c r="G448" s="75">
        <v>0</v>
      </c>
      <c r="H448" s="30">
        <f t="shared" si="57"/>
        <v>0</v>
      </c>
      <c r="I448" s="82">
        <f t="shared" si="58"/>
        <v>0</v>
      </c>
      <c r="J448" s="82">
        <f t="shared" si="59"/>
        <v>0</v>
      </c>
      <c r="K448" s="30" t="str">
        <f t="shared" si="56"/>
        <v>MEJORA</v>
      </c>
    </row>
    <row r="449" spans="1:11" x14ac:dyDescent="0.25">
      <c r="A449" s="47" t="s">
        <v>153</v>
      </c>
      <c r="B449" s="47" t="s">
        <v>178</v>
      </c>
      <c r="C449" s="47">
        <v>45917</v>
      </c>
      <c r="D449" s="36" t="s">
        <v>149</v>
      </c>
      <c r="E449" s="45" t="s">
        <v>139</v>
      </c>
      <c r="F449" s="5" t="s">
        <v>129</v>
      </c>
      <c r="G449" s="75">
        <v>0</v>
      </c>
      <c r="H449" s="30">
        <f t="shared" si="57"/>
        <v>0</v>
      </c>
      <c r="I449" s="82">
        <f t="shared" si="58"/>
        <v>0</v>
      </c>
      <c r="J449" s="82">
        <f t="shared" si="59"/>
        <v>0</v>
      </c>
      <c r="K449" s="30" t="str">
        <f t="shared" si="56"/>
        <v>MEJORA</v>
      </c>
    </row>
    <row r="450" spans="1:11" x14ac:dyDescent="0.25">
      <c r="A450" s="47" t="s">
        <v>153</v>
      </c>
      <c r="B450" s="47" t="s">
        <v>178</v>
      </c>
      <c r="C450" s="47">
        <v>45917</v>
      </c>
      <c r="D450" s="36" t="s">
        <v>149</v>
      </c>
      <c r="E450" s="45" t="s">
        <v>139</v>
      </c>
      <c r="F450" s="5" t="s">
        <v>31</v>
      </c>
      <c r="G450" s="75">
        <v>0</v>
      </c>
      <c r="H450" s="30">
        <f t="shared" si="57"/>
        <v>0</v>
      </c>
      <c r="I450" s="82">
        <f t="shared" si="58"/>
        <v>0</v>
      </c>
      <c r="J450" s="82">
        <f t="shared" si="59"/>
        <v>0</v>
      </c>
      <c r="K450" s="30" t="str">
        <f t="shared" si="56"/>
        <v>MEJORA</v>
      </c>
    </row>
    <row r="451" spans="1:11" x14ac:dyDescent="0.25">
      <c r="A451" s="39" t="s">
        <v>153</v>
      </c>
      <c r="B451" s="39" t="s">
        <v>178</v>
      </c>
      <c r="C451" s="41">
        <v>45917</v>
      </c>
      <c r="D451" s="42"/>
      <c r="E451" s="39" t="s">
        <v>139</v>
      </c>
      <c r="F451" s="42"/>
      <c r="G451" s="79">
        <f>SUM(G422:G450)</f>
        <v>0</v>
      </c>
      <c r="H451" s="44">
        <f>SUM(H422:H450)</f>
        <v>0</v>
      </c>
      <c r="I451" s="83">
        <f>SUM(I422:I450)</f>
        <v>16.818750000000001</v>
      </c>
      <c r="J451" s="83">
        <f>SUM(J422:J450)</f>
        <v>22.425000000000004</v>
      </c>
      <c r="K451" s="30" t="str">
        <f t="shared" si="56"/>
        <v>MEJORA</v>
      </c>
    </row>
  </sheetData>
  <autoFilter ref="A1:K1" xr:uid="{FAB303BC-DAC0-4BF6-A1E7-B0568B8BF410}"/>
  <phoneticPr fontId="5"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53FB20A1-FE43-4F89-910E-D325D3310E00}">
            <xm:f>NOT(ISERROR(SEARCH($O$1,K122)))</xm:f>
            <xm:f>$O$1</xm:f>
            <x14:dxf>
              <font>
                <color theme="0"/>
              </font>
              <fill>
                <patternFill>
                  <bgColor rgb="FFC00000"/>
                </patternFill>
              </fill>
            </x14:dxf>
          </x14:cfRule>
          <x14:cfRule type="containsText" priority="11" operator="containsText" id="{88DC4715-E533-4134-A082-303D3A3A5583}">
            <xm:f>NOT(ISERROR(SEARCH($N$1,K122)))</xm:f>
            <xm:f>$N$1</xm:f>
            <x14:dxf>
              <font>
                <color theme="0"/>
              </font>
              <fill>
                <patternFill>
                  <bgColor theme="9" tint="-0.24994659260841701"/>
                </patternFill>
              </fill>
            </x14:dxf>
          </x14:cfRule>
          <x14:cfRule type="containsText" priority="12" operator="containsText" id="{194DF579-A34F-42C8-949E-954F19EF81BA}">
            <xm:f>NOT(ISERROR(SEARCH($M$1,K122)))</xm:f>
            <xm:f>$M$1</xm:f>
            <x14:dxf>
              <fill>
                <patternFill>
                  <bgColor rgb="FFFFFF00"/>
                </patternFill>
              </fill>
            </x14:dxf>
          </x14:cfRule>
          <xm:sqref>K122:K181</xm:sqref>
        </x14:conditionalFormatting>
        <x14:conditionalFormatting xmlns:xm="http://schemas.microsoft.com/office/excel/2006/main">
          <x14:cfRule type="containsText" priority="7" operator="containsText" id="{52342599-A8AE-4496-935E-B3A2EB6F55E6}">
            <xm:f>NOT(ISERROR(SEARCH($O$1,K212)))</xm:f>
            <xm:f>$O$1</xm:f>
            <x14:dxf>
              <font>
                <color theme="0"/>
              </font>
              <fill>
                <patternFill>
                  <bgColor rgb="FFC00000"/>
                </patternFill>
              </fill>
            </x14:dxf>
          </x14:cfRule>
          <x14:cfRule type="containsText" priority="8" operator="containsText" id="{E3BDA5D2-FBF8-4FA1-BAC7-263157C8C549}">
            <xm:f>NOT(ISERROR(SEARCH($N$1,K212)))</xm:f>
            <xm:f>$N$1</xm:f>
            <x14:dxf>
              <font>
                <color theme="0"/>
              </font>
              <fill>
                <patternFill>
                  <bgColor theme="9" tint="-0.24994659260841701"/>
                </patternFill>
              </fill>
            </x14:dxf>
          </x14:cfRule>
          <x14:cfRule type="containsText" priority="9" operator="containsText" id="{85B10FEE-E707-4861-9708-F6B494038FE5}">
            <xm:f>NOT(ISERROR(SEARCH($M$1,K212)))</xm:f>
            <xm:f>$M$1</xm:f>
            <x14:dxf>
              <fill>
                <patternFill>
                  <bgColor rgb="FFFFFF00"/>
                </patternFill>
              </fill>
            </x14:dxf>
          </x14:cfRule>
          <xm:sqref>K212:K271</xm:sqref>
        </x14:conditionalFormatting>
        <x14:conditionalFormatting xmlns:xm="http://schemas.microsoft.com/office/excel/2006/main">
          <x14:cfRule type="containsText" priority="4" operator="containsText" id="{E6B20AD9-2DCF-47C1-9199-5A37B0FEB349}">
            <xm:f>NOT(ISERROR(SEARCH($O$1,K302)))</xm:f>
            <xm:f>$O$1</xm:f>
            <x14:dxf>
              <font>
                <color theme="0"/>
              </font>
              <fill>
                <patternFill>
                  <bgColor rgb="FFC00000"/>
                </patternFill>
              </fill>
            </x14:dxf>
          </x14:cfRule>
          <x14:cfRule type="containsText" priority="5" operator="containsText" id="{057F335D-5086-44E9-9B7A-E9E00607642B}">
            <xm:f>NOT(ISERROR(SEARCH($N$1,K302)))</xm:f>
            <xm:f>$N$1</xm:f>
            <x14:dxf>
              <font>
                <color theme="0"/>
              </font>
              <fill>
                <patternFill>
                  <bgColor theme="9" tint="-0.24994659260841701"/>
                </patternFill>
              </fill>
            </x14:dxf>
          </x14:cfRule>
          <x14:cfRule type="containsText" priority="6" operator="containsText" id="{03C4365A-683D-490A-BB60-747FDD7B8CAE}">
            <xm:f>NOT(ISERROR(SEARCH($M$1,K302)))</xm:f>
            <xm:f>$M$1</xm:f>
            <x14:dxf>
              <fill>
                <patternFill>
                  <bgColor rgb="FFFFFF00"/>
                </patternFill>
              </fill>
            </x14:dxf>
          </x14:cfRule>
          <xm:sqref>K302:K361</xm:sqref>
        </x14:conditionalFormatting>
        <x14:conditionalFormatting xmlns:xm="http://schemas.microsoft.com/office/excel/2006/main">
          <x14:cfRule type="containsText" priority="1" operator="containsText" id="{D9190613-E1B8-4839-BD4B-4CAA261738DE}">
            <xm:f>NOT(ISERROR(SEARCH($O$1,K392)))</xm:f>
            <xm:f>$O$1</xm:f>
            <x14:dxf>
              <font>
                <color theme="0"/>
              </font>
              <fill>
                <patternFill>
                  <bgColor rgb="FFC00000"/>
                </patternFill>
              </fill>
            </x14:dxf>
          </x14:cfRule>
          <x14:cfRule type="containsText" priority="2" operator="containsText" id="{8CEFC737-62CF-47F1-866F-3CB0CBFD5745}">
            <xm:f>NOT(ISERROR(SEARCH($N$1,K392)))</xm:f>
            <xm:f>$N$1</xm:f>
            <x14:dxf>
              <font>
                <color theme="0"/>
              </font>
              <fill>
                <patternFill>
                  <bgColor theme="9" tint="-0.24994659260841701"/>
                </patternFill>
              </fill>
            </x14:dxf>
          </x14:cfRule>
          <x14:cfRule type="containsText" priority="3" operator="containsText" id="{57C4D320-D5E2-46F4-9A43-02A97FA4AD5E}">
            <xm:f>NOT(ISERROR(SEARCH($M$1,K392)))</xm:f>
            <xm:f>$M$1</xm:f>
            <x14:dxf>
              <fill>
                <patternFill>
                  <bgColor rgb="FFFFFF00"/>
                </patternFill>
              </fill>
            </x14:dxf>
          </x14:cfRule>
          <xm:sqref>K392:K451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C3939-F987-4CA7-BAB1-7687D61547B4}">
  <sheetPr codeName="Hoja7"/>
  <dimension ref="A1:AU60"/>
  <sheetViews>
    <sheetView workbookViewId="0">
      <selection activeCell="O1" sqref="O1"/>
    </sheetView>
  </sheetViews>
  <sheetFormatPr baseColWidth="10" defaultRowHeight="15" x14ac:dyDescent="0.25"/>
  <cols>
    <col min="1" max="1" width="31.5703125" customWidth="1"/>
    <col min="2" max="2" width="19" style="6" customWidth="1"/>
    <col min="3" max="3" width="14.42578125" style="6" customWidth="1"/>
    <col min="4" max="4" width="15.42578125" style="6" bestFit="1" customWidth="1"/>
    <col min="5" max="5" width="13.5703125" style="6" bestFit="1" customWidth="1"/>
    <col min="6" max="6" width="17.85546875" style="6" customWidth="1"/>
    <col min="18" max="20" width="15.5703125" customWidth="1"/>
    <col min="21" max="21" width="14.28515625" bestFit="1" customWidth="1"/>
    <col min="22" max="22" width="10.28515625" bestFit="1" customWidth="1"/>
    <col min="23" max="23" width="8" bestFit="1" customWidth="1"/>
    <col min="24" max="24" width="8.140625" bestFit="1" customWidth="1"/>
    <col min="25" max="25" width="10.85546875" bestFit="1" customWidth="1"/>
    <col min="26" max="26" width="7" bestFit="1" customWidth="1"/>
    <col min="27" max="27" width="13.5703125" bestFit="1" customWidth="1"/>
    <col min="28" max="28" width="11" bestFit="1" customWidth="1"/>
    <col min="29" max="29" width="7.28515625" bestFit="1" customWidth="1"/>
    <col min="30" max="30" width="15.5703125" customWidth="1"/>
    <col min="31" max="31" width="12.42578125" bestFit="1" customWidth="1"/>
    <col min="32" max="32" width="10" bestFit="1" customWidth="1"/>
    <col min="33" max="33" width="15.42578125" bestFit="1" customWidth="1"/>
    <col min="34" max="34" width="7" bestFit="1" customWidth="1"/>
    <col min="35" max="35" width="13.42578125" customWidth="1"/>
    <col min="36" max="36" width="11.140625" customWidth="1"/>
    <col min="37" max="37" width="10.85546875" customWidth="1"/>
    <col min="38" max="38" width="15.140625" customWidth="1"/>
    <col min="39" max="39" width="12.5703125" bestFit="1" customWidth="1"/>
    <col min="40" max="40" width="13.42578125" bestFit="1" customWidth="1"/>
    <col min="41" max="47" width="15.5703125" customWidth="1"/>
  </cols>
  <sheetData>
    <row r="1" spans="1:47" ht="45.75" customHeight="1" x14ac:dyDescent="0.25">
      <c r="A1" s="11" t="s">
        <v>34</v>
      </c>
      <c r="B1" s="74" t="s">
        <v>135</v>
      </c>
      <c r="C1" s="74" t="s">
        <v>136</v>
      </c>
      <c r="D1" s="74" t="s">
        <v>137</v>
      </c>
      <c r="E1" s="74" t="s">
        <v>138</v>
      </c>
      <c r="F1" s="74" t="s">
        <v>139</v>
      </c>
      <c r="J1" s="11" t="s">
        <v>34</v>
      </c>
      <c r="K1" s="74" t="s">
        <v>135</v>
      </c>
      <c r="L1" s="74" t="s">
        <v>136</v>
      </c>
      <c r="M1" s="74" t="s">
        <v>137</v>
      </c>
      <c r="N1" s="74" t="s">
        <v>138</v>
      </c>
      <c r="O1" s="74" t="s">
        <v>139</v>
      </c>
      <c r="R1" s="11" t="s">
        <v>34</v>
      </c>
      <c r="S1" s="9" t="s">
        <v>108</v>
      </c>
      <c r="T1" s="9" t="s">
        <v>109</v>
      </c>
      <c r="U1" s="9" t="s">
        <v>110</v>
      </c>
      <c r="V1" s="9" t="s">
        <v>111</v>
      </c>
      <c r="W1" s="9" t="s">
        <v>112</v>
      </c>
      <c r="X1" s="9" t="s">
        <v>113</v>
      </c>
      <c r="Y1" s="9" t="s">
        <v>114</v>
      </c>
      <c r="Z1" s="9" t="s">
        <v>115</v>
      </c>
      <c r="AA1" s="9" t="s">
        <v>116</v>
      </c>
      <c r="AB1" s="9" t="s">
        <v>117</v>
      </c>
      <c r="AC1" s="5" t="s">
        <v>118</v>
      </c>
      <c r="AD1" s="5" t="s">
        <v>24</v>
      </c>
      <c r="AE1" s="5" t="s">
        <v>25</v>
      </c>
      <c r="AF1" s="5" t="s">
        <v>26</v>
      </c>
      <c r="AG1" s="5" t="s">
        <v>27</v>
      </c>
      <c r="AH1" s="5" t="s">
        <v>28</v>
      </c>
      <c r="AI1" s="5" t="s">
        <v>119</v>
      </c>
      <c r="AJ1" s="5" t="s">
        <v>120</v>
      </c>
      <c r="AK1" s="5" t="s">
        <v>121</v>
      </c>
      <c r="AL1" s="5" t="s">
        <v>122</v>
      </c>
      <c r="AM1" s="10" t="s">
        <v>123</v>
      </c>
      <c r="AN1" s="10" t="s">
        <v>124</v>
      </c>
      <c r="AO1" s="10" t="s">
        <v>125</v>
      </c>
      <c r="AP1" s="10" t="s">
        <v>126</v>
      </c>
      <c r="AQ1" s="10" t="s">
        <v>127</v>
      </c>
      <c r="AR1" s="10" t="s">
        <v>30</v>
      </c>
      <c r="AS1" s="5" t="s">
        <v>128</v>
      </c>
      <c r="AT1" s="5" t="s">
        <v>129</v>
      </c>
      <c r="AU1" s="5" t="s">
        <v>31</v>
      </c>
    </row>
    <row r="2" spans="1:47" ht="15" customHeight="1" x14ac:dyDescent="0.25">
      <c r="A2" s="9" t="s">
        <v>108</v>
      </c>
      <c r="B2" s="75">
        <v>34.5</v>
      </c>
      <c r="C2" s="102" cm="1">
        <f t="array" ref="C2:C30">_xlfn.ANCHORARRAY(PARTITURA!F32)</f>
        <v>0</v>
      </c>
      <c r="D2" s="102" cm="1">
        <f t="array" ref="D2:D30">_xlfn.ANCHORARRAY(PARTITURA!F62)</f>
        <v>0</v>
      </c>
      <c r="E2" s="102" cm="1">
        <f t="array" ref="E2:E30">_xlfn.ANCHORARRAY(PARTITURA!F92)</f>
        <v>0</v>
      </c>
      <c r="F2" s="102" cm="1">
        <f t="array" ref="F2:F30">_xlfn.ANCHORARRAY(PARTITURA!F122)</f>
        <v>0</v>
      </c>
      <c r="J2" s="9" t="s">
        <v>108</v>
      </c>
      <c r="K2" s="75">
        <v>34.5</v>
      </c>
      <c r="L2" s="102">
        <v>20.700000000000003</v>
      </c>
      <c r="M2" s="102">
        <v>0</v>
      </c>
      <c r="N2" s="102">
        <v>0</v>
      </c>
      <c r="O2" s="102">
        <v>0</v>
      </c>
      <c r="R2" s="74" t="s">
        <v>135</v>
      </c>
      <c r="S2" s="75">
        <v>34.5</v>
      </c>
      <c r="T2" s="75">
        <v>31.050000000000004</v>
      </c>
      <c r="U2" s="75">
        <v>27.6</v>
      </c>
      <c r="V2" s="75">
        <v>24.150000000000002</v>
      </c>
      <c r="W2" s="75">
        <v>17.25</v>
      </c>
      <c r="X2" s="75">
        <v>13.8</v>
      </c>
      <c r="Y2" s="75">
        <v>13.8</v>
      </c>
      <c r="Z2" s="75">
        <v>13.8</v>
      </c>
      <c r="AA2" s="75">
        <v>13.8</v>
      </c>
      <c r="AB2" s="75">
        <v>10.350000000000001</v>
      </c>
      <c r="AC2" s="75">
        <v>10.350000000000001</v>
      </c>
      <c r="AD2" s="75">
        <v>10.350000000000001</v>
      </c>
      <c r="AE2" s="75">
        <v>6.9</v>
      </c>
      <c r="AF2" s="75">
        <v>6.9</v>
      </c>
      <c r="AG2" s="75">
        <v>3.45</v>
      </c>
      <c r="AH2" s="75">
        <v>3.45</v>
      </c>
      <c r="AI2" s="75">
        <v>3.45</v>
      </c>
      <c r="AJ2" s="75">
        <v>3.45</v>
      </c>
      <c r="AK2" s="75">
        <v>1</v>
      </c>
      <c r="AL2" s="75">
        <v>2</v>
      </c>
      <c r="AM2" s="75">
        <v>3</v>
      </c>
      <c r="AN2" s="75">
        <v>4</v>
      </c>
      <c r="AO2" s="75">
        <v>5</v>
      </c>
      <c r="AP2" s="75">
        <v>5.5</v>
      </c>
      <c r="AQ2" s="75">
        <v>6</v>
      </c>
      <c r="AR2" s="75">
        <v>6.5</v>
      </c>
      <c r="AS2" s="75">
        <v>7</v>
      </c>
      <c r="AT2" s="75">
        <v>7.5</v>
      </c>
      <c r="AU2" s="75">
        <v>8</v>
      </c>
    </row>
    <row r="3" spans="1:47" ht="15" customHeight="1" x14ac:dyDescent="0.25">
      <c r="A3" s="9" t="s">
        <v>109</v>
      </c>
      <c r="B3" s="75">
        <v>31.050000000000004</v>
      </c>
      <c r="C3" s="14">
        <v>0</v>
      </c>
      <c r="D3" s="14">
        <v>0</v>
      </c>
      <c r="E3" s="102">
        <v>0</v>
      </c>
      <c r="F3" s="14">
        <v>0</v>
      </c>
      <c r="J3" s="9" t="s">
        <v>109</v>
      </c>
      <c r="K3" s="75">
        <v>31.050000000000004</v>
      </c>
      <c r="L3" s="14">
        <v>17.25</v>
      </c>
      <c r="M3" s="14">
        <v>0</v>
      </c>
      <c r="N3" s="102">
        <v>0</v>
      </c>
      <c r="O3" s="14">
        <v>0</v>
      </c>
      <c r="R3" s="74" t="s">
        <v>136</v>
      </c>
      <c r="S3" s="102">
        <v>20.700000000000003</v>
      </c>
      <c r="T3" s="14">
        <v>17.25</v>
      </c>
      <c r="U3" s="14">
        <v>24.150000000000002</v>
      </c>
      <c r="V3" s="14">
        <v>31.05</v>
      </c>
      <c r="W3" s="14">
        <v>37.950000000000003</v>
      </c>
      <c r="X3" s="14">
        <v>44.85</v>
      </c>
      <c r="Y3" s="14">
        <v>51.75</v>
      </c>
      <c r="Z3" s="14">
        <v>58.65</v>
      </c>
      <c r="AA3" s="14">
        <v>65.550000000000011</v>
      </c>
      <c r="AB3" s="14">
        <v>72.45</v>
      </c>
      <c r="AC3" s="14">
        <v>79.349999999999994</v>
      </c>
      <c r="AD3" s="14">
        <v>86.25</v>
      </c>
      <c r="AE3" s="14">
        <v>93.15</v>
      </c>
      <c r="AF3" s="14">
        <v>100.05000000000001</v>
      </c>
      <c r="AG3" s="14">
        <v>106.94999999999999</v>
      </c>
      <c r="AH3" s="14">
        <v>113.85</v>
      </c>
      <c r="AI3" s="14">
        <v>120.75</v>
      </c>
      <c r="AJ3" s="14">
        <v>127.65</v>
      </c>
      <c r="AK3" s="14">
        <v>134.55000000000001</v>
      </c>
      <c r="AL3" s="14">
        <v>141.44999999999999</v>
      </c>
      <c r="AM3" s="14">
        <v>148.35</v>
      </c>
      <c r="AN3" s="14">
        <v>155.25</v>
      </c>
      <c r="AO3" s="14">
        <v>162.15</v>
      </c>
      <c r="AP3" s="14">
        <v>169.04999999999998</v>
      </c>
      <c r="AQ3" s="14">
        <v>175.95</v>
      </c>
      <c r="AR3" s="14">
        <v>182.85</v>
      </c>
      <c r="AS3" s="14">
        <v>189.75</v>
      </c>
      <c r="AT3" s="14">
        <v>196.65</v>
      </c>
      <c r="AU3" s="14">
        <v>203.54999999999998</v>
      </c>
    </row>
    <row r="4" spans="1:47" ht="15" customHeight="1" x14ac:dyDescent="0.25">
      <c r="A4" s="9" t="s">
        <v>110</v>
      </c>
      <c r="B4" s="75">
        <v>27.6</v>
      </c>
      <c r="C4" s="14">
        <v>0</v>
      </c>
      <c r="D4" s="14">
        <v>0</v>
      </c>
      <c r="E4" s="102">
        <v>0</v>
      </c>
      <c r="F4" s="14">
        <v>0</v>
      </c>
      <c r="J4" s="9" t="s">
        <v>110</v>
      </c>
      <c r="K4" s="75">
        <v>27.6</v>
      </c>
      <c r="L4" s="14">
        <v>24.150000000000002</v>
      </c>
      <c r="M4" s="14">
        <v>0</v>
      </c>
      <c r="N4" s="102">
        <v>0</v>
      </c>
      <c r="O4" s="14">
        <v>0</v>
      </c>
      <c r="R4" s="74" t="s">
        <v>137</v>
      </c>
      <c r="S4" s="102">
        <v>0</v>
      </c>
      <c r="T4" s="14">
        <v>0</v>
      </c>
      <c r="U4" s="14">
        <v>0</v>
      </c>
      <c r="V4" s="14">
        <v>0</v>
      </c>
      <c r="W4" s="14">
        <v>0</v>
      </c>
      <c r="X4" s="14">
        <v>0</v>
      </c>
      <c r="Y4" s="14">
        <v>0</v>
      </c>
      <c r="Z4" s="14">
        <v>0</v>
      </c>
      <c r="AA4" s="14">
        <v>0</v>
      </c>
      <c r="AB4" s="14">
        <v>0</v>
      </c>
      <c r="AC4" s="14">
        <v>0</v>
      </c>
      <c r="AD4" s="14">
        <v>0</v>
      </c>
      <c r="AE4" s="14">
        <v>0</v>
      </c>
      <c r="AF4" s="14">
        <v>0</v>
      </c>
      <c r="AG4" s="14">
        <v>0</v>
      </c>
      <c r="AH4" s="14">
        <v>0</v>
      </c>
      <c r="AI4" s="14">
        <v>0</v>
      </c>
      <c r="AJ4" s="14">
        <v>0</v>
      </c>
      <c r="AK4" s="14">
        <v>0</v>
      </c>
      <c r="AL4" s="14">
        <v>0</v>
      </c>
      <c r="AM4" s="14">
        <v>0</v>
      </c>
      <c r="AN4" s="14">
        <v>0</v>
      </c>
      <c r="AO4" s="14">
        <v>0</v>
      </c>
      <c r="AP4" s="14">
        <v>0</v>
      </c>
      <c r="AQ4" s="14">
        <v>0</v>
      </c>
      <c r="AR4" s="14">
        <v>0</v>
      </c>
      <c r="AS4" s="14">
        <v>0</v>
      </c>
      <c r="AT4" s="14">
        <v>0</v>
      </c>
      <c r="AU4" s="14">
        <v>0</v>
      </c>
    </row>
    <row r="5" spans="1:47" ht="15" customHeight="1" x14ac:dyDescent="0.25">
      <c r="A5" s="9" t="s">
        <v>111</v>
      </c>
      <c r="B5" s="75">
        <v>24.150000000000002</v>
      </c>
      <c r="C5" s="14">
        <v>0</v>
      </c>
      <c r="D5" s="14">
        <v>0</v>
      </c>
      <c r="E5" s="102">
        <v>0</v>
      </c>
      <c r="F5" s="14">
        <v>0</v>
      </c>
      <c r="J5" s="9" t="s">
        <v>111</v>
      </c>
      <c r="K5" s="75">
        <v>24.150000000000002</v>
      </c>
      <c r="L5" s="14">
        <v>31.05</v>
      </c>
      <c r="M5" s="14">
        <v>0</v>
      </c>
      <c r="N5" s="102">
        <v>0</v>
      </c>
      <c r="O5" s="14">
        <v>0</v>
      </c>
      <c r="R5" s="74" t="s">
        <v>138</v>
      </c>
      <c r="S5" s="102">
        <v>0</v>
      </c>
      <c r="T5" s="102">
        <v>0</v>
      </c>
      <c r="U5" s="102">
        <v>0</v>
      </c>
      <c r="V5" s="102">
        <v>0</v>
      </c>
      <c r="W5" s="102">
        <v>0</v>
      </c>
      <c r="X5" s="102">
        <v>0</v>
      </c>
      <c r="Y5" s="102">
        <v>0</v>
      </c>
      <c r="Z5" s="102">
        <v>0</v>
      </c>
      <c r="AA5" s="102">
        <v>0</v>
      </c>
      <c r="AB5" s="102">
        <v>0</v>
      </c>
      <c r="AC5" s="102">
        <v>0</v>
      </c>
      <c r="AD5" s="102">
        <v>0</v>
      </c>
      <c r="AE5" s="102">
        <v>0</v>
      </c>
      <c r="AF5" s="102">
        <v>0</v>
      </c>
      <c r="AG5" s="102">
        <v>0</v>
      </c>
      <c r="AH5" s="102">
        <v>0</v>
      </c>
      <c r="AI5" s="102">
        <v>0</v>
      </c>
      <c r="AJ5" s="102">
        <v>0</v>
      </c>
      <c r="AK5" s="102">
        <v>0</v>
      </c>
      <c r="AL5" s="102">
        <v>0</v>
      </c>
      <c r="AM5" s="102">
        <v>0</v>
      </c>
      <c r="AN5" s="102">
        <v>0</v>
      </c>
      <c r="AO5" s="102">
        <v>0</v>
      </c>
      <c r="AP5" s="102">
        <v>0</v>
      </c>
      <c r="AQ5" s="102">
        <v>0</v>
      </c>
      <c r="AR5" s="102">
        <v>0</v>
      </c>
      <c r="AS5" s="102">
        <v>0</v>
      </c>
      <c r="AT5" s="102">
        <v>0</v>
      </c>
      <c r="AU5" s="102">
        <v>0</v>
      </c>
    </row>
    <row r="6" spans="1:47" ht="15" customHeight="1" x14ac:dyDescent="0.25">
      <c r="A6" s="9" t="s">
        <v>112</v>
      </c>
      <c r="B6" s="75">
        <v>17.25</v>
      </c>
      <c r="C6" s="14">
        <v>0</v>
      </c>
      <c r="D6" s="14">
        <v>0</v>
      </c>
      <c r="E6" s="102">
        <v>0</v>
      </c>
      <c r="F6" s="14">
        <v>0</v>
      </c>
      <c r="J6" s="9" t="s">
        <v>112</v>
      </c>
      <c r="K6" s="75">
        <v>17.25</v>
      </c>
      <c r="L6" s="14">
        <v>37.950000000000003</v>
      </c>
      <c r="M6" s="14">
        <v>0</v>
      </c>
      <c r="N6" s="102">
        <v>0</v>
      </c>
      <c r="O6" s="14">
        <v>0</v>
      </c>
      <c r="R6" s="74" t="s">
        <v>139</v>
      </c>
      <c r="S6" s="102">
        <v>0</v>
      </c>
      <c r="T6" s="14">
        <v>0</v>
      </c>
      <c r="U6" s="14">
        <v>0</v>
      </c>
      <c r="V6" s="14">
        <v>0</v>
      </c>
      <c r="W6" s="14">
        <v>0</v>
      </c>
      <c r="X6" s="14">
        <v>0</v>
      </c>
      <c r="Y6" s="14">
        <v>0</v>
      </c>
      <c r="Z6" s="14">
        <v>0</v>
      </c>
      <c r="AA6" s="14">
        <v>0</v>
      </c>
      <c r="AB6" s="14">
        <v>0</v>
      </c>
      <c r="AC6" s="14">
        <v>0</v>
      </c>
      <c r="AD6" s="14">
        <v>0</v>
      </c>
      <c r="AE6" s="14">
        <v>0</v>
      </c>
      <c r="AF6" s="14">
        <v>0</v>
      </c>
      <c r="AG6" s="14">
        <v>0</v>
      </c>
      <c r="AH6" s="14">
        <v>0</v>
      </c>
      <c r="AI6" s="14">
        <v>0</v>
      </c>
      <c r="AJ6" s="14">
        <v>0</v>
      </c>
      <c r="AK6" s="14">
        <v>0</v>
      </c>
      <c r="AL6" s="14">
        <v>0</v>
      </c>
      <c r="AM6" s="14">
        <v>0</v>
      </c>
      <c r="AN6" s="14">
        <v>0</v>
      </c>
      <c r="AO6" s="14">
        <v>0</v>
      </c>
      <c r="AP6" s="14">
        <v>0</v>
      </c>
      <c r="AQ6" s="14">
        <v>0</v>
      </c>
      <c r="AR6" s="14">
        <v>0</v>
      </c>
      <c r="AS6" s="14">
        <v>0</v>
      </c>
      <c r="AT6" s="14">
        <v>0</v>
      </c>
      <c r="AU6" s="14">
        <v>0</v>
      </c>
    </row>
    <row r="7" spans="1:47" ht="15" customHeight="1" x14ac:dyDescent="0.25">
      <c r="A7" s="9" t="s">
        <v>113</v>
      </c>
      <c r="B7" s="75">
        <v>13.8</v>
      </c>
      <c r="C7" s="14">
        <v>0</v>
      </c>
      <c r="D7" s="14">
        <v>0</v>
      </c>
      <c r="E7" s="102">
        <v>0</v>
      </c>
      <c r="F7" s="14">
        <v>0</v>
      </c>
      <c r="J7" s="9" t="s">
        <v>113</v>
      </c>
      <c r="K7" s="75">
        <v>13.8</v>
      </c>
      <c r="L7" s="14">
        <v>44.85</v>
      </c>
      <c r="M7" s="14">
        <v>0</v>
      </c>
      <c r="N7" s="102">
        <v>0</v>
      </c>
      <c r="O7" s="14">
        <v>0</v>
      </c>
    </row>
    <row r="8" spans="1:47" ht="15" customHeight="1" x14ac:dyDescent="0.25">
      <c r="A8" s="9" t="s">
        <v>114</v>
      </c>
      <c r="B8" s="75">
        <v>13.8</v>
      </c>
      <c r="C8" s="14">
        <v>0</v>
      </c>
      <c r="D8" s="14">
        <v>0</v>
      </c>
      <c r="E8" s="102">
        <v>0</v>
      </c>
      <c r="F8" s="14">
        <v>0</v>
      </c>
      <c r="J8" s="9" t="s">
        <v>114</v>
      </c>
      <c r="K8" s="75">
        <v>13.8</v>
      </c>
      <c r="L8" s="14">
        <v>51.75</v>
      </c>
      <c r="M8" s="14">
        <v>0</v>
      </c>
      <c r="N8" s="102">
        <v>0</v>
      </c>
      <c r="O8" s="14">
        <v>0</v>
      </c>
    </row>
    <row r="9" spans="1:47" ht="15" customHeight="1" x14ac:dyDescent="0.25">
      <c r="A9" s="9" t="s">
        <v>115</v>
      </c>
      <c r="B9" s="75">
        <v>13.8</v>
      </c>
      <c r="C9" s="14">
        <v>0</v>
      </c>
      <c r="D9" s="14">
        <v>0</v>
      </c>
      <c r="E9" s="102">
        <v>0</v>
      </c>
      <c r="F9" s="14">
        <v>0</v>
      </c>
      <c r="J9" s="9" t="s">
        <v>115</v>
      </c>
      <c r="K9" s="75">
        <v>13.8</v>
      </c>
      <c r="L9" s="14">
        <v>58.65</v>
      </c>
      <c r="M9" s="14">
        <v>0</v>
      </c>
      <c r="N9" s="102">
        <v>0</v>
      </c>
      <c r="O9" s="14">
        <v>0</v>
      </c>
    </row>
    <row r="10" spans="1:47" ht="15" customHeight="1" x14ac:dyDescent="0.25">
      <c r="A10" s="9" t="s">
        <v>116</v>
      </c>
      <c r="B10" s="75">
        <v>13.8</v>
      </c>
      <c r="C10" s="14">
        <v>0</v>
      </c>
      <c r="D10" s="14">
        <v>0</v>
      </c>
      <c r="E10" s="102">
        <v>0</v>
      </c>
      <c r="F10" s="14">
        <v>0</v>
      </c>
      <c r="J10" s="9" t="s">
        <v>116</v>
      </c>
      <c r="K10" s="75">
        <v>13.8</v>
      </c>
      <c r="L10" s="14">
        <v>65.550000000000011</v>
      </c>
      <c r="M10" s="14">
        <v>0</v>
      </c>
      <c r="N10" s="102">
        <v>0</v>
      </c>
      <c r="O10" s="14">
        <v>0</v>
      </c>
    </row>
    <row r="11" spans="1:47" ht="15" customHeight="1" x14ac:dyDescent="0.25">
      <c r="A11" s="9" t="s">
        <v>117</v>
      </c>
      <c r="B11" s="75">
        <v>10.350000000000001</v>
      </c>
      <c r="C11" s="14">
        <v>0</v>
      </c>
      <c r="D11" s="14">
        <v>0</v>
      </c>
      <c r="E11" s="102">
        <v>0</v>
      </c>
      <c r="F11" s="14">
        <v>0</v>
      </c>
      <c r="J11" s="9" t="s">
        <v>117</v>
      </c>
      <c r="K11" s="75">
        <v>10.350000000000001</v>
      </c>
      <c r="L11" s="14">
        <v>72.45</v>
      </c>
      <c r="M11" s="14">
        <v>0</v>
      </c>
      <c r="N11" s="102">
        <v>0</v>
      </c>
      <c r="O11" s="14">
        <v>0</v>
      </c>
    </row>
    <row r="12" spans="1:47" ht="15" customHeight="1" x14ac:dyDescent="0.25">
      <c r="A12" s="5" t="s">
        <v>118</v>
      </c>
      <c r="B12" s="75">
        <v>10.350000000000001</v>
      </c>
      <c r="C12" s="14">
        <v>0</v>
      </c>
      <c r="D12" s="14">
        <v>0</v>
      </c>
      <c r="E12" s="102">
        <v>0</v>
      </c>
      <c r="F12" s="14">
        <v>0</v>
      </c>
      <c r="J12" s="5" t="s">
        <v>118</v>
      </c>
      <c r="K12" s="75">
        <v>10.350000000000001</v>
      </c>
      <c r="L12" s="14">
        <v>79.349999999999994</v>
      </c>
      <c r="M12" s="14">
        <v>0</v>
      </c>
      <c r="N12" s="102">
        <v>0</v>
      </c>
      <c r="O12" s="14">
        <v>0</v>
      </c>
    </row>
    <row r="13" spans="1:47" ht="15" customHeight="1" x14ac:dyDescent="0.25">
      <c r="A13" s="5" t="s">
        <v>24</v>
      </c>
      <c r="B13" s="75">
        <v>10.350000000000001</v>
      </c>
      <c r="C13" s="14">
        <v>0</v>
      </c>
      <c r="D13" s="14">
        <v>0</v>
      </c>
      <c r="E13" s="102">
        <v>0</v>
      </c>
      <c r="F13" s="14">
        <v>0</v>
      </c>
      <c r="J13" s="5" t="s">
        <v>24</v>
      </c>
      <c r="K13" s="75">
        <v>10.350000000000001</v>
      </c>
      <c r="L13" s="14">
        <v>86.25</v>
      </c>
      <c r="M13" s="14">
        <v>0</v>
      </c>
      <c r="N13" s="102">
        <v>0</v>
      </c>
      <c r="O13" s="14">
        <v>0</v>
      </c>
    </row>
    <row r="14" spans="1:47" ht="15" customHeight="1" x14ac:dyDescent="0.25">
      <c r="A14" s="5" t="s">
        <v>25</v>
      </c>
      <c r="B14" s="75">
        <v>6.9</v>
      </c>
      <c r="C14" s="14">
        <v>0</v>
      </c>
      <c r="D14" s="14">
        <v>0</v>
      </c>
      <c r="E14" s="102">
        <v>0</v>
      </c>
      <c r="F14" s="14">
        <v>0</v>
      </c>
      <c r="J14" s="5" t="s">
        <v>25</v>
      </c>
      <c r="K14" s="75">
        <v>6.9</v>
      </c>
      <c r="L14" s="14">
        <v>93.15</v>
      </c>
      <c r="M14" s="14">
        <v>0</v>
      </c>
      <c r="N14" s="102">
        <v>0</v>
      </c>
      <c r="O14" s="14">
        <v>0</v>
      </c>
    </row>
    <row r="15" spans="1:47" ht="15" customHeight="1" x14ac:dyDescent="0.25">
      <c r="A15" s="5" t="s">
        <v>26</v>
      </c>
      <c r="B15" s="75">
        <v>6.9</v>
      </c>
      <c r="C15" s="14">
        <v>0</v>
      </c>
      <c r="D15" s="14">
        <v>0</v>
      </c>
      <c r="E15" s="102">
        <v>0</v>
      </c>
      <c r="F15" s="14">
        <v>0</v>
      </c>
      <c r="J15" s="5" t="s">
        <v>26</v>
      </c>
      <c r="K15" s="75">
        <v>6.9</v>
      </c>
      <c r="L15" s="14">
        <v>100.05000000000001</v>
      </c>
      <c r="M15" s="14">
        <v>0</v>
      </c>
      <c r="N15" s="102">
        <v>0</v>
      </c>
      <c r="O15" s="14">
        <v>0</v>
      </c>
    </row>
    <row r="16" spans="1:47" ht="15" customHeight="1" x14ac:dyDescent="0.25">
      <c r="A16" s="5" t="s">
        <v>27</v>
      </c>
      <c r="B16" s="75">
        <v>3.45</v>
      </c>
      <c r="C16" s="14">
        <v>0</v>
      </c>
      <c r="D16" s="14">
        <v>0</v>
      </c>
      <c r="E16" s="102">
        <v>0</v>
      </c>
      <c r="F16" s="14">
        <v>0</v>
      </c>
      <c r="J16" s="5" t="s">
        <v>27</v>
      </c>
      <c r="K16" s="75">
        <v>3.45</v>
      </c>
      <c r="L16" s="14">
        <v>106.94999999999999</v>
      </c>
      <c r="M16" s="14">
        <v>0</v>
      </c>
      <c r="N16" s="102">
        <v>0</v>
      </c>
      <c r="O16" s="14">
        <v>0</v>
      </c>
    </row>
    <row r="17" spans="1:15" ht="15" customHeight="1" x14ac:dyDescent="0.25">
      <c r="A17" s="5" t="s">
        <v>28</v>
      </c>
      <c r="B17" s="75">
        <v>3.45</v>
      </c>
      <c r="C17" s="14">
        <v>0</v>
      </c>
      <c r="D17" s="14">
        <v>0</v>
      </c>
      <c r="E17" s="102">
        <v>0</v>
      </c>
      <c r="F17" s="14">
        <v>0</v>
      </c>
      <c r="J17" s="5" t="s">
        <v>28</v>
      </c>
      <c r="K17" s="75">
        <v>3.45</v>
      </c>
      <c r="L17" s="14">
        <v>113.85</v>
      </c>
      <c r="M17" s="14">
        <v>0</v>
      </c>
      <c r="N17" s="102">
        <v>0</v>
      </c>
      <c r="O17" s="14">
        <v>0</v>
      </c>
    </row>
    <row r="18" spans="1:15" ht="15" customHeight="1" x14ac:dyDescent="0.25">
      <c r="A18" s="5" t="s">
        <v>119</v>
      </c>
      <c r="B18" s="75">
        <v>3.45</v>
      </c>
      <c r="C18" s="14">
        <v>0</v>
      </c>
      <c r="D18" s="14">
        <v>0</v>
      </c>
      <c r="E18" s="102">
        <v>0</v>
      </c>
      <c r="F18" s="14">
        <v>0</v>
      </c>
      <c r="J18" s="5" t="s">
        <v>119</v>
      </c>
      <c r="K18" s="75">
        <v>3.45</v>
      </c>
      <c r="L18" s="14">
        <v>120.75</v>
      </c>
      <c r="M18" s="14">
        <v>0</v>
      </c>
      <c r="N18" s="102">
        <v>0</v>
      </c>
      <c r="O18" s="14">
        <v>0</v>
      </c>
    </row>
    <row r="19" spans="1:15" ht="15" customHeight="1" x14ac:dyDescent="0.25">
      <c r="A19" s="5" t="s">
        <v>120</v>
      </c>
      <c r="B19" s="75">
        <v>3.45</v>
      </c>
      <c r="C19" s="14">
        <v>0</v>
      </c>
      <c r="D19" s="14">
        <v>0</v>
      </c>
      <c r="E19" s="102">
        <v>0</v>
      </c>
      <c r="F19" s="14">
        <v>0</v>
      </c>
      <c r="J19" s="5" t="s">
        <v>120</v>
      </c>
      <c r="K19" s="75">
        <v>3.45</v>
      </c>
      <c r="L19" s="14">
        <v>127.65</v>
      </c>
      <c r="M19" s="14">
        <v>0</v>
      </c>
      <c r="N19" s="102">
        <v>0</v>
      </c>
      <c r="O19" s="14">
        <v>0</v>
      </c>
    </row>
    <row r="20" spans="1:15" ht="15" customHeight="1" x14ac:dyDescent="0.25">
      <c r="A20" s="5" t="s">
        <v>121</v>
      </c>
      <c r="B20" s="75">
        <v>1</v>
      </c>
      <c r="C20" s="14">
        <v>0</v>
      </c>
      <c r="D20" s="14">
        <v>0</v>
      </c>
      <c r="E20" s="102">
        <v>0</v>
      </c>
      <c r="F20" s="14">
        <v>0</v>
      </c>
      <c r="J20" s="5" t="s">
        <v>121</v>
      </c>
      <c r="K20" s="75">
        <v>1</v>
      </c>
      <c r="L20" s="14">
        <v>134.55000000000001</v>
      </c>
      <c r="M20" s="14">
        <v>0</v>
      </c>
      <c r="N20" s="102">
        <v>0</v>
      </c>
      <c r="O20" s="14">
        <v>0</v>
      </c>
    </row>
    <row r="21" spans="1:15" ht="15" customHeight="1" x14ac:dyDescent="0.25">
      <c r="A21" s="5" t="s">
        <v>122</v>
      </c>
      <c r="B21" s="75">
        <v>2</v>
      </c>
      <c r="C21" s="14">
        <v>0</v>
      </c>
      <c r="D21" s="14">
        <v>0</v>
      </c>
      <c r="E21" s="102">
        <v>0</v>
      </c>
      <c r="F21" s="14">
        <v>0</v>
      </c>
      <c r="J21" s="5" t="s">
        <v>122</v>
      </c>
      <c r="K21" s="75">
        <v>2</v>
      </c>
      <c r="L21" s="14">
        <v>141.44999999999999</v>
      </c>
      <c r="M21" s="14">
        <v>0</v>
      </c>
      <c r="N21" s="102">
        <v>0</v>
      </c>
      <c r="O21" s="14">
        <v>0</v>
      </c>
    </row>
    <row r="22" spans="1:15" ht="15" customHeight="1" x14ac:dyDescent="0.25">
      <c r="A22" s="10" t="s">
        <v>123</v>
      </c>
      <c r="B22" s="75">
        <v>3</v>
      </c>
      <c r="C22" s="14">
        <v>0</v>
      </c>
      <c r="D22" s="14">
        <v>0</v>
      </c>
      <c r="E22" s="102">
        <v>0</v>
      </c>
      <c r="F22" s="14">
        <v>0</v>
      </c>
      <c r="J22" s="10" t="s">
        <v>123</v>
      </c>
      <c r="K22" s="75">
        <v>3</v>
      </c>
      <c r="L22" s="14">
        <v>148.35</v>
      </c>
      <c r="M22" s="14">
        <v>0</v>
      </c>
      <c r="N22" s="102">
        <v>0</v>
      </c>
      <c r="O22" s="14">
        <v>0</v>
      </c>
    </row>
    <row r="23" spans="1:15" ht="15" customHeight="1" x14ac:dyDescent="0.25">
      <c r="A23" s="10" t="s">
        <v>124</v>
      </c>
      <c r="B23" s="75">
        <v>4</v>
      </c>
      <c r="C23" s="14">
        <v>0</v>
      </c>
      <c r="D23" s="14">
        <v>0</v>
      </c>
      <c r="E23" s="102">
        <v>0</v>
      </c>
      <c r="F23" s="14">
        <v>0</v>
      </c>
      <c r="J23" s="10" t="s">
        <v>124</v>
      </c>
      <c r="K23" s="75">
        <v>4</v>
      </c>
      <c r="L23" s="14">
        <v>155.25</v>
      </c>
      <c r="M23" s="14">
        <v>0</v>
      </c>
      <c r="N23" s="102">
        <v>0</v>
      </c>
      <c r="O23" s="14">
        <v>0</v>
      </c>
    </row>
    <row r="24" spans="1:15" ht="15" customHeight="1" x14ac:dyDescent="0.25">
      <c r="A24" s="10" t="s">
        <v>125</v>
      </c>
      <c r="B24" s="75">
        <v>5</v>
      </c>
      <c r="C24" s="14">
        <v>0</v>
      </c>
      <c r="D24" s="14">
        <v>0</v>
      </c>
      <c r="E24" s="102">
        <v>0</v>
      </c>
      <c r="F24" s="14">
        <v>0</v>
      </c>
      <c r="J24" s="10" t="s">
        <v>125</v>
      </c>
      <c r="K24" s="75">
        <v>5</v>
      </c>
      <c r="L24" s="14">
        <v>162.15</v>
      </c>
      <c r="M24" s="14">
        <v>0</v>
      </c>
      <c r="N24" s="102">
        <v>0</v>
      </c>
      <c r="O24" s="14">
        <v>0</v>
      </c>
    </row>
    <row r="25" spans="1:15" ht="15" customHeight="1" x14ac:dyDescent="0.25">
      <c r="A25" s="10" t="s">
        <v>126</v>
      </c>
      <c r="B25" s="75">
        <v>5.5</v>
      </c>
      <c r="C25" s="14">
        <v>0</v>
      </c>
      <c r="D25" s="14">
        <v>0</v>
      </c>
      <c r="E25" s="102">
        <v>0</v>
      </c>
      <c r="F25" s="14">
        <v>0</v>
      </c>
      <c r="J25" s="10" t="s">
        <v>126</v>
      </c>
      <c r="K25" s="75">
        <v>5.5</v>
      </c>
      <c r="L25" s="14">
        <v>169.04999999999998</v>
      </c>
      <c r="M25" s="14">
        <v>0</v>
      </c>
      <c r="N25" s="102">
        <v>0</v>
      </c>
      <c r="O25" s="14">
        <v>0</v>
      </c>
    </row>
    <row r="26" spans="1:15" ht="15" customHeight="1" x14ac:dyDescent="0.25">
      <c r="A26" s="10" t="s">
        <v>127</v>
      </c>
      <c r="B26" s="75">
        <v>6</v>
      </c>
      <c r="C26" s="14">
        <v>0</v>
      </c>
      <c r="D26" s="14">
        <v>0</v>
      </c>
      <c r="E26" s="102">
        <v>0</v>
      </c>
      <c r="F26" s="14">
        <v>0</v>
      </c>
      <c r="J26" s="10" t="s">
        <v>127</v>
      </c>
      <c r="K26" s="75">
        <v>6</v>
      </c>
      <c r="L26" s="14">
        <v>175.95</v>
      </c>
      <c r="M26" s="14">
        <v>0</v>
      </c>
      <c r="N26" s="102">
        <v>0</v>
      </c>
      <c r="O26" s="14">
        <v>0</v>
      </c>
    </row>
    <row r="27" spans="1:15" ht="15" customHeight="1" x14ac:dyDescent="0.25">
      <c r="A27" s="10" t="s">
        <v>30</v>
      </c>
      <c r="B27" s="75">
        <v>6.5</v>
      </c>
      <c r="C27" s="14">
        <v>0</v>
      </c>
      <c r="D27" s="14">
        <v>0</v>
      </c>
      <c r="E27" s="102">
        <v>0</v>
      </c>
      <c r="F27" s="14">
        <v>0</v>
      </c>
      <c r="J27" s="10" t="s">
        <v>30</v>
      </c>
      <c r="K27" s="75">
        <v>6.5</v>
      </c>
      <c r="L27" s="14">
        <v>182.85</v>
      </c>
      <c r="M27" s="14">
        <v>0</v>
      </c>
      <c r="N27" s="102">
        <v>0</v>
      </c>
      <c r="O27" s="14">
        <v>0</v>
      </c>
    </row>
    <row r="28" spans="1:15" ht="15" customHeight="1" x14ac:dyDescent="0.25">
      <c r="A28" s="5" t="s">
        <v>128</v>
      </c>
      <c r="B28" s="75">
        <v>7</v>
      </c>
      <c r="C28" s="14">
        <v>0</v>
      </c>
      <c r="D28" s="14">
        <v>0</v>
      </c>
      <c r="E28" s="102">
        <v>0</v>
      </c>
      <c r="F28" s="14">
        <v>0</v>
      </c>
      <c r="J28" s="5" t="s">
        <v>128</v>
      </c>
      <c r="K28" s="75">
        <v>7</v>
      </c>
      <c r="L28" s="14">
        <v>189.75</v>
      </c>
      <c r="M28" s="14">
        <v>0</v>
      </c>
      <c r="N28" s="102">
        <v>0</v>
      </c>
      <c r="O28" s="14">
        <v>0</v>
      </c>
    </row>
    <row r="29" spans="1:15" ht="15" customHeight="1" x14ac:dyDescent="0.25">
      <c r="A29" s="5" t="s">
        <v>129</v>
      </c>
      <c r="B29" s="75">
        <v>7.5</v>
      </c>
      <c r="C29" s="14">
        <v>0</v>
      </c>
      <c r="D29" s="14">
        <v>0</v>
      </c>
      <c r="E29" s="102">
        <v>0</v>
      </c>
      <c r="F29" s="14">
        <v>0</v>
      </c>
      <c r="J29" s="5" t="s">
        <v>129</v>
      </c>
      <c r="K29" s="75">
        <v>7.5</v>
      </c>
      <c r="L29" s="14">
        <v>196.65</v>
      </c>
      <c r="M29" s="14">
        <v>0</v>
      </c>
      <c r="N29" s="102">
        <v>0</v>
      </c>
      <c r="O29" s="14">
        <v>0</v>
      </c>
    </row>
    <row r="30" spans="1:15" ht="15" customHeight="1" x14ac:dyDescent="0.25">
      <c r="A30" s="5" t="s">
        <v>31</v>
      </c>
      <c r="B30" s="75">
        <v>8</v>
      </c>
      <c r="C30" s="14">
        <v>0</v>
      </c>
      <c r="D30" s="14">
        <v>0</v>
      </c>
      <c r="E30" s="102">
        <v>0</v>
      </c>
      <c r="F30" s="14">
        <v>0</v>
      </c>
      <c r="J30" s="5" t="s">
        <v>31</v>
      </c>
      <c r="K30" s="75">
        <v>8</v>
      </c>
      <c r="L30" s="14">
        <v>203.54999999999998</v>
      </c>
      <c r="M30" s="14">
        <v>0</v>
      </c>
      <c r="N30" s="102">
        <v>0</v>
      </c>
      <c r="O30" s="14">
        <v>0</v>
      </c>
    </row>
    <row r="31" spans="1:15" x14ac:dyDescent="0.25">
      <c r="A31" s="11" t="s">
        <v>34</v>
      </c>
      <c r="B31" s="81" t="s">
        <v>244</v>
      </c>
      <c r="C31" s="81" t="s">
        <v>245</v>
      </c>
      <c r="D31" s="81" t="s">
        <v>246</v>
      </c>
      <c r="E31" s="81" t="s">
        <v>247</v>
      </c>
      <c r="F31" s="81" t="s">
        <v>248</v>
      </c>
    </row>
    <row r="32" spans="1:15" x14ac:dyDescent="0.25">
      <c r="A32" s="9" t="s">
        <v>108</v>
      </c>
      <c r="B32" s="82">
        <v>25.875</v>
      </c>
      <c r="C32" s="82">
        <v>1.9406250000000003</v>
      </c>
      <c r="D32" s="82">
        <v>1.9406250000000003</v>
      </c>
      <c r="E32" s="82">
        <v>1.9406250000000003</v>
      </c>
      <c r="F32" s="82">
        <v>1.9406250000000003</v>
      </c>
    </row>
    <row r="33" spans="1:6" ht="30" x14ac:dyDescent="0.25">
      <c r="A33" s="9" t="s">
        <v>109</v>
      </c>
      <c r="B33" s="82">
        <v>23.287500000000001</v>
      </c>
      <c r="C33" s="82">
        <v>4.5281250000000002</v>
      </c>
      <c r="D33" s="82">
        <v>4.5281250000000002</v>
      </c>
      <c r="E33" s="82">
        <v>4.5281250000000002</v>
      </c>
      <c r="F33" s="82">
        <v>4.5281250000000002</v>
      </c>
    </row>
    <row r="34" spans="1:6" x14ac:dyDescent="0.25">
      <c r="A34" s="9" t="s">
        <v>110</v>
      </c>
      <c r="B34" s="82">
        <v>20.700000000000003</v>
      </c>
      <c r="C34" s="82">
        <v>2.5875000000000004</v>
      </c>
      <c r="D34" s="82">
        <v>2.5875000000000004</v>
      </c>
      <c r="E34" s="82">
        <v>2.5875000000000004</v>
      </c>
      <c r="F34" s="82">
        <v>2.5875000000000004</v>
      </c>
    </row>
    <row r="35" spans="1:6" x14ac:dyDescent="0.25">
      <c r="A35" s="9" t="s">
        <v>111</v>
      </c>
      <c r="B35" s="82">
        <v>18.112500000000001</v>
      </c>
      <c r="C35" s="82">
        <v>2.5875000000000004</v>
      </c>
      <c r="D35" s="82">
        <v>2.5875000000000004</v>
      </c>
      <c r="E35" s="82">
        <v>2.5875000000000004</v>
      </c>
      <c r="F35" s="82">
        <v>2.5875000000000004</v>
      </c>
    </row>
    <row r="36" spans="1:6" x14ac:dyDescent="0.25">
      <c r="A36" s="9" t="s">
        <v>112</v>
      </c>
      <c r="B36" s="82">
        <v>12.9375</v>
      </c>
      <c r="C36" s="82">
        <v>5.1750000000000007</v>
      </c>
      <c r="D36" s="82">
        <v>5.1750000000000007</v>
      </c>
      <c r="E36" s="82">
        <v>5.1750000000000007</v>
      </c>
      <c r="F36" s="82">
        <v>5.1750000000000007</v>
      </c>
    </row>
    <row r="37" spans="1:6" x14ac:dyDescent="0.25">
      <c r="A37" s="9" t="s">
        <v>113</v>
      </c>
      <c r="B37" s="82">
        <v>10.350000000000001</v>
      </c>
      <c r="C37" s="82">
        <v>5.8218750000000004</v>
      </c>
      <c r="D37" s="82">
        <v>5.8218750000000004</v>
      </c>
      <c r="E37" s="82">
        <v>5.8218750000000004</v>
      </c>
      <c r="F37" s="82">
        <v>5.8218750000000004</v>
      </c>
    </row>
    <row r="38" spans="1:6" x14ac:dyDescent="0.25">
      <c r="A38" s="9" t="s">
        <v>114</v>
      </c>
      <c r="B38" s="82">
        <v>10.350000000000001</v>
      </c>
      <c r="C38" s="82">
        <v>6.46875</v>
      </c>
      <c r="D38" s="82">
        <v>6.46875</v>
      </c>
      <c r="E38" s="82">
        <v>6.46875</v>
      </c>
      <c r="F38" s="82">
        <v>6.46875</v>
      </c>
    </row>
    <row r="39" spans="1:6" x14ac:dyDescent="0.25">
      <c r="A39" s="9" t="s">
        <v>115</v>
      </c>
      <c r="B39" s="82">
        <v>10.350000000000001</v>
      </c>
      <c r="C39" s="82">
        <v>3.234375</v>
      </c>
      <c r="D39" s="82">
        <v>3.234375</v>
      </c>
      <c r="E39" s="82">
        <v>3.234375</v>
      </c>
      <c r="F39" s="82">
        <v>3.234375</v>
      </c>
    </row>
    <row r="40" spans="1:6" x14ac:dyDescent="0.25">
      <c r="A40" s="9" t="s">
        <v>116</v>
      </c>
      <c r="B40" s="82">
        <v>10.350000000000001</v>
      </c>
      <c r="C40" s="82">
        <v>1.2937500000000002</v>
      </c>
      <c r="D40" s="82">
        <v>1.2937500000000002</v>
      </c>
      <c r="E40" s="82">
        <v>1.2937500000000002</v>
      </c>
      <c r="F40" s="82">
        <v>1.2937500000000002</v>
      </c>
    </row>
    <row r="41" spans="1:6" x14ac:dyDescent="0.25">
      <c r="A41" s="9" t="s">
        <v>117</v>
      </c>
      <c r="B41" s="82">
        <v>7.7625000000000011</v>
      </c>
      <c r="C41" s="82">
        <v>2.5875000000000004</v>
      </c>
      <c r="D41" s="82">
        <v>2.5875000000000004</v>
      </c>
      <c r="E41" s="82">
        <v>2.5875000000000004</v>
      </c>
      <c r="F41" s="82">
        <v>2.5875000000000004</v>
      </c>
    </row>
    <row r="42" spans="1:6" x14ac:dyDescent="0.25">
      <c r="A42" s="5" t="s">
        <v>118</v>
      </c>
      <c r="B42" s="82">
        <v>7.7625000000000011</v>
      </c>
      <c r="C42" s="82">
        <v>1.2937500000000002</v>
      </c>
      <c r="D42" s="82">
        <v>1.2937500000000002</v>
      </c>
      <c r="E42" s="82">
        <v>1.2937500000000002</v>
      </c>
      <c r="F42" s="82">
        <v>1.2937500000000002</v>
      </c>
    </row>
    <row r="43" spans="1:6" x14ac:dyDescent="0.25">
      <c r="A43" s="5" t="s">
        <v>24</v>
      </c>
      <c r="B43" s="82">
        <v>7.7625000000000011</v>
      </c>
      <c r="C43" s="82">
        <v>0.64687500000000009</v>
      </c>
      <c r="D43" s="82">
        <v>0.64687500000000009</v>
      </c>
      <c r="E43" s="82">
        <v>0.64687500000000009</v>
      </c>
      <c r="F43" s="82">
        <v>0.64687500000000009</v>
      </c>
    </row>
    <row r="44" spans="1:6" x14ac:dyDescent="0.25">
      <c r="A44" s="5" t="s">
        <v>25</v>
      </c>
      <c r="B44" s="82">
        <v>5.1750000000000007</v>
      </c>
      <c r="C44" s="82">
        <v>0</v>
      </c>
      <c r="D44" s="82">
        <v>0</v>
      </c>
      <c r="E44" s="82">
        <v>0</v>
      </c>
      <c r="F44" s="82">
        <v>0</v>
      </c>
    </row>
    <row r="45" spans="1:6" x14ac:dyDescent="0.25">
      <c r="A45" s="5" t="s">
        <v>26</v>
      </c>
      <c r="B45" s="82">
        <v>5.1750000000000007</v>
      </c>
      <c r="C45" s="82">
        <v>0.64687500000000009</v>
      </c>
      <c r="D45" s="82">
        <v>0.64687500000000009</v>
      </c>
      <c r="E45" s="82">
        <v>0.64687500000000009</v>
      </c>
      <c r="F45" s="82">
        <v>0.64687500000000009</v>
      </c>
    </row>
    <row r="46" spans="1:6" x14ac:dyDescent="0.25">
      <c r="A46" s="5" t="s">
        <v>27</v>
      </c>
      <c r="B46" s="82">
        <v>2.5875000000000004</v>
      </c>
      <c r="C46" s="82">
        <v>0</v>
      </c>
      <c r="D46" s="82">
        <v>0</v>
      </c>
      <c r="E46" s="82">
        <v>0</v>
      </c>
      <c r="F46" s="82">
        <v>0</v>
      </c>
    </row>
    <row r="47" spans="1:6" x14ac:dyDescent="0.25">
      <c r="A47" s="5" t="s">
        <v>28</v>
      </c>
      <c r="B47" s="82">
        <v>2.5875000000000004</v>
      </c>
      <c r="C47" s="82">
        <v>1.9406250000000003</v>
      </c>
      <c r="D47" s="82">
        <v>1.9406250000000003</v>
      </c>
      <c r="E47" s="82">
        <v>1.9406250000000003</v>
      </c>
      <c r="F47" s="82">
        <v>1.9406250000000003</v>
      </c>
    </row>
    <row r="48" spans="1:6" x14ac:dyDescent="0.25">
      <c r="A48" s="5" t="s">
        <v>119</v>
      </c>
      <c r="B48" s="82">
        <v>2.5875000000000004</v>
      </c>
      <c r="C48" s="82">
        <v>1.9406250000000003</v>
      </c>
      <c r="D48" s="82">
        <v>1.9406250000000003</v>
      </c>
      <c r="E48" s="82">
        <v>1.9406250000000003</v>
      </c>
      <c r="F48" s="82">
        <v>1.9406250000000003</v>
      </c>
    </row>
    <row r="49" spans="1:6" x14ac:dyDescent="0.25">
      <c r="A49" s="5" t="s">
        <v>120</v>
      </c>
      <c r="B49" s="82">
        <v>2.5875000000000004</v>
      </c>
      <c r="C49" s="82">
        <v>0</v>
      </c>
      <c r="D49" s="82">
        <v>0</v>
      </c>
      <c r="E49" s="82">
        <v>0</v>
      </c>
      <c r="F49" s="82">
        <v>0</v>
      </c>
    </row>
    <row r="50" spans="1:6" x14ac:dyDescent="0.25">
      <c r="A50" s="5" t="s">
        <v>121</v>
      </c>
      <c r="B50" s="82">
        <v>0</v>
      </c>
      <c r="C50" s="82">
        <v>0</v>
      </c>
      <c r="D50" s="82">
        <v>0</v>
      </c>
      <c r="E50" s="82">
        <v>0</v>
      </c>
      <c r="F50" s="82">
        <v>0</v>
      </c>
    </row>
    <row r="51" spans="1:6" x14ac:dyDescent="0.25">
      <c r="A51" s="5" t="s">
        <v>122</v>
      </c>
      <c r="B51" s="82">
        <v>0</v>
      </c>
      <c r="C51" s="82">
        <v>0</v>
      </c>
      <c r="D51" s="82">
        <v>0</v>
      </c>
      <c r="E51" s="82">
        <v>0</v>
      </c>
      <c r="F51" s="82">
        <v>0</v>
      </c>
    </row>
    <row r="52" spans="1:6" x14ac:dyDescent="0.25">
      <c r="A52" s="10" t="s">
        <v>123</v>
      </c>
      <c r="B52" s="82">
        <v>0</v>
      </c>
      <c r="C52" s="82">
        <v>2.5875000000000004</v>
      </c>
      <c r="D52" s="82">
        <v>2.5875000000000004</v>
      </c>
      <c r="E52" s="82">
        <v>2.5875000000000004</v>
      </c>
      <c r="F52" s="82">
        <v>2.5875000000000004</v>
      </c>
    </row>
    <row r="53" spans="1:6" x14ac:dyDescent="0.25">
      <c r="A53" s="10" t="s">
        <v>124</v>
      </c>
      <c r="B53" s="82">
        <v>0</v>
      </c>
      <c r="C53" s="82">
        <v>0.64687500000000009</v>
      </c>
      <c r="D53" s="82">
        <v>0.64687500000000009</v>
      </c>
      <c r="E53" s="82">
        <v>0.64687500000000009</v>
      </c>
      <c r="F53" s="82">
        <v>0.64687500000000009</v>
      </c>
    </row>
    <row r="54" spans="1:6" x14ac:dyDescent="0.25">
      <c r="A54" s="10" t="s">
        <v>125</v>
      </c>
      <c r="B54" s="82">
        <v>0</v>
      </c>
      <c r="C54" s="82">
        <v>0</v>
      </c>
      <c r="D54" s="82">
        <v>0</v>
      </c>
      <c r="E54" s="82">
        <v>0</v>
      </c>
      <c r="F54" s="82">
        <v>0</v>
      </c>
    </row>
    <row r="55" spans="1:6" x14ac:dyDescent="0.25">
      <c r="A55" s="10" t="s">
        <v>126</v>
      </c>
      <c r="B55" s="82">
        <v>0</v>
      </c>
      <c r="C55" s="82">
        <v>0</v>
      </c>
      <c r="D55" s="82">
        <v>0</v>
      </c>
      <c r="E55" s="82">
        <v>0</v>
      </c>
      <c r="F55" s="82">
        <v>0</v>
      </c>
    </row>
    <row r="56" spans="1:6" x14ac:dyDescent="0.25">
      <c r="A56" s="10" t="s">
        <v>127</v>
      </c>
      <c r="B56" s="82">
        <v>0</v>
      </c>
      <c r="C56" s="82">
        <v>0</v>
      </c>
      <c r="D56" s="82">
        <v>0</v>
      </c>
      <c r="E56" s="82">
        <v>0</v>
      </c>
      <c r="F56" s="82">
        <v>0</v>
      </c>
    </row>
    <row r="57" spans="1:6" x14ac:dyDescent="0.25">
      <c r="A57" s="10" t="s">
        <v>30</v>
      </c>
      <c r="B57" s="82">
        <v>0</v>
      </c>
      <c r="C57" s="82">
        <v>0</v>
      </c>
      <c r="D57" s="82">
        <v>0</v>
      </c>
      <c r="E57" s="82">
        <v>0</v>
      </c>
      <c r="F57" s="82">
        <v>0</v>
      </c>
    </row>
    <row r="58" spans="1:6" x14ac:dyDescent="0.25">
      <c r="A58" s="5" t="s">
        <v>128</v>
      </c>
      <c r="B58" s="82">
        <v>0</v>
      </c>
      <c r="C58" s="82">
        <v>0</v>
      </c>
      <c r="D58" s="82">
        <v>0</v>
      </c>
      <c r="E58" s="82">
        <v>0</v>
      </c>
      <c r="F58" s="82">
        <v>0</v>
      </c>
    </row>
    <row r="59" spans="1:6" x14ac:dyDescent="0.25">
      <c r="A59" s="5" t="s">
        <v>129</v>
      </c>
      <c r="B59" s="82">
        <v>0</v>
      </c>
      <c r="C59" s="82">
        <v>0</v>
      </c>
      <c r="D59" s="82">
        <v>0</v>
      </c>
      <c r="E59" s="82">
        <v>0</v>
      </c>
      <c r="F59" s="82">
        <v>0</v>
      </c>
    </row>
    <row r="60" spans="1:6" x14ac:dyDescent="0.25">
      <c r="A60" s="5" t="s">
        <v>31</v>
      </c>
      <c r="B60" s="82">
        <v>0</v>
      </c>
      <c r="C60" s="82">
        <v>0.64687500000000009</v>
      </c>
      <c r="D60" s="82">
        <v>0.64687500000000009</v>
      </c>
      <c r="E60" s="82">
        <v>0.64687500000000009</v>
      </c>
      <c r="F60" s="82">
        <v>0.64687500000000009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7AE35-830C-45A0-A280-12111CE8C9A6}">
  <sheetPr codeName="Hoja9"/>
  <dimension ref="A1"/>
  <sheetViews>
    <sheetView showGridLines="0" topLeftCell="A52" workbookViewId="0">
      <selection activeCell="U63" sqref="U63"/>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18171-269E-46F4-BF0E-1014E9BDB0B3}">
  <sheetPr codeName="Hoja10"/>
  <dimension ref="B1:L21"/>
  <sheetViews>
    <sheetView workbookViewId="0">
      <selection activeCell="R20" sqref="R20"/>
    </sheetView>
  </sheetViews>
  <sheetFormatPr baseColWidth="10" defaultRowHeight="15" x14ac:dyDescent="0.25"/>
  <sheetData>
    <row r="1" spans="2:12" ht="15.75" thickBot="1" x14ac:dyDescent="0.3"/>
    <row r="2" spans="2:12" ht="15.75" thickBot="1" x14ac:dyDescent="0.3">
      <c r="B2" s="121" t="s">
        <v>249</v>
      </c>
      <c r="C2" s="122"/>
      <c r="D2" s="104"/>
      <c r="E2" s="121" t="s">
        <v>250</v>
      </c>
      <c r="F2" s="122"/>
      <c r="H2" s="121" t="s">
        <v>251</v>
      </c>
      <c r="I2" s="122"/>
      <c r="K2" s="103"/>
      <c r="L2" s="104"/>
    </row>
    <row r="20" spans="2:9" ht="15.75" thickBot="1" x14ac:dyDescent="0.3"/>
    <row r="21" spans="2:9" ht="15.75" thickBot="1" x14ac:dyDescent="0.3">
      <c r="B21" s="121" t="s">
        <v>252</v>
      </c>
      <c r="C21" s="122"/>
      <c r="D21" s="104"/>
      <c r="E21" s="121" t="s">
        <v>253</v>
      </c>
      <c r="F21" s="122"/>
      <c r="H21" s="121" t="s">
        <v>254</v>
      </c>
      <c r="I21" s="122"/>
    </row>
  </sheetData>
  <mergeCells count="6">
    <mergeCell ref="B2:C2"/>
    <mergeCell ref="E2:F2"/>
    <mergeCell ref="H2:I2"/>
    <mergeCell ref="B21:C21"/>
    <mergeCell ref="E21:F21"/>
    <mergeCell ref="H21:I2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A0FF-F3C6-44CE-B6F8-F63D292891A7}">
  <dimension ref="A1:C35"/>
  <sheetViews>
    <sheetView workbookViewId="0">
      <selection activeCell="C7" sqref="C7"/>
    </sheetView>
  </sheetViews>
  <sheetFormatPr baseColWidth="10" defaultRowHeight="15" x14ac:dyDescent="0.25"/>
  <cols>
    <col min="3" max="3" width="105" style="103" customWidth="1"/>
  </cols>
  <sheetData>
    <row r="1" spans="1:3" x14ac:dyDescent="0.25">
      <c r="A1" s="105" t="s">
        <v>255</v>
      </c>
      <c r="B1" s="105" t="s">
        <v>256</v>
      </c>
      <c r="C1" s="106" t="s">
        <v>257</v>
      </c>
    </row>
    <row r="2" spans="1:3" ht="45" x14ac:dyDescent="0.25">
      <c r="A2" s="105">
        <v>1</v>
      </c>
      <c r="B2" s="105" t="s">
        <v>258</v>
      </c>
      <c r="C2" s="106" t="s">
        <v>259</v>
      </c>
    </row>
    <row r="3" spans="1:3" ht="30" x14ac:dyDescent="0.25">
      <c r="A3" s="105">
        <v>2</v>
      </c>
      <c r="B3" s="105" t="s">
        <v>260</v>
      </c>
      <c r="C3" s="106" t="s">
        <v>261</v>
      </c>
    </row>
    <row r="4" spans="1:3" ht="30" x14ac:dyDescent="0.25">
      <c r="A4" s="105">
        <v>3</v>
      </c>
      <c r="B4" s="105" t="s">
        <v>262</v>
      </c>
      <c r="C4" s="106" t="s">
        <v>263</v>
      </c>
    </row>
    <row r="5" spans="1:3" ht="30" x14ac:dyDescent="0.25">
      <c r="A5" s="105">
        <v>4</v>
      </c>
      <c r="B5" s="105" t="s">
        <v>264</v>
      </c>
      <c r="C5" s="106" t="s">
        <v>265</v>
      </c>
    </row>
    <row r="6" spans="1:3" ht="30" x14ac:dyDescent="0.25">
      <c r="A6" s="105">
        <v>5</v>
      </c>
      <c r="B6" s="105" t="s">
        <v>266</v>
      </c>
      <c r="C6" s="106" t="s">
        <v>267</v>
      </c>
    </row>
    <row r="7" spans="1:3" ht="30" x14ac:dyDescent="0.25">
      <c r="A7" s="105">
        <v>6</v>
      </c>
      <c r="B7" s="105" t="s">
        <v>268</v>
      </c>
      <c r="C7" s="106" t="s">
        <v>269</v>
      </c>
    </row>
    <row r="9" spans="1:3" x14ac:dyDescent="0.25">
      <c r="C9" s="108" t="s">
        <v>294</v>
      </c>
    </row>
    <row r="10" spans="1:3" x14ac:dyDescent="0.25">
      <c r="C10" s="110" t="s">
        <v>295</v>
      </c>
    </row>
    <row r="11" spans="1:3" x14ac:dyDescent="0.25">
      <c r="C11" s="111" t="s">
        <v>270</v>
      </c>
    </row>
    <row r="12" spans="1:3" x14ac:dyDescent="0.25">
      <c r="C12" s="107" t="s">
        <v>271</v>
      </c>
    </row>
    <row r="13" spans="1:3" x14ac:dyDescent="0.25">
      <c r="C13" s="107" t="s">
        <v>272</v>
      </c>
    </row>
    <row r="14" spans="1:3" x14ac:dyDescent="0.25">
      <c r="C14" s="107" t="s">
        <v>273</v>
      </c>
    </row>
    <row r="15" spans="1:3" x14ac:dyDescent="0.25">
      <c r="C15" s="111" t="s">
        <v>274</v>
      </c>
    </row>
    <row r="16" spans="1:3" x14ac:dyDescent="0.25">
      <c r="C16" s="107" t="s">
        <v>275</v>
      </c>
    </row>
    <row r="17" spans="3:3" x14ac:dyDescent="0.25">
      <c r="C17" s="107" t="s">
        <v>276</v>
      </c>
    </row>
    <row r="18" spans="3:3" x14ac:dyDescent="0.25">
      <c r="C18" s="107" t="s">
        <v>277</v>
      </c>
    </row>
    <row r="19" spans="3:3" x14ac:dyDescent="0.25">
      <c r="C19" s="111" t="s">
        <v>278</v>
      </c>
    </row>
    <row r="20" spans="3:3" x14ac:dyDescent="0.25">
      <c r="C20" s="107" t="s">
        <v>279</v>
      </c>
    </row>
    <row r="21" spans="3:3" x14ac:dyDescent="0.25">
      <c r="C21" s="107" t="s">
        <v>280</v>
      </c>
    </row>
    <row r="22" spans="3:3" x14ac:dyDescent="0.25">
      <c r="C22" s="107" t="s">
        <v>281</v>
      </c>
    </row>
    <row r="23" spans="3:3" x14ac:dyDescent="0.25">
      <c r="C23" s="111" t="s">
        <v>282</v>
      </c>
    </row>
    <row r="24" spans="3:3" x14ac:dyDescent="0.25">
      <c r="C24" s="107" t="s">
        <v>283</v>
      </c>
    </row>
    <row r="25" spans="3:3" x14ac:dyDescent="0.25">
      <c r="C25" s="107" t="s">
        <v>284</v>
      </c>
    </row>
    <row r="26" spans="3:3" x14ac:dyDescent="0.25">
      <c r="C26" s="107" t="s">
        <v>285</v>
      </c>
    </row>
    <row r="27" spans="3:3" x14ac:dyDescent="0.25">
      <c r="C27" s="111" t="s">
        <v>286</v>
      </c>
    </row>
    <row r="28" spans="3:3" x14ac:dyDescent="0.25">
      <c r="C28" s="107" t="s">
        <v>287</v>
      </c>
    </row>
    <row r="29" spans="3:3" x14ac:dyDescent="0.25">
      <c r="C29" s="107" t="s">
        <v>288</v>
      </c>
    </row>
    <row r="30" spans="3:3" x14ac:dyDescent="0.25">
      <c r="C30" s="107" t="s">
        <v>289</v>
      </c>
    </row>
    <row r="31" spans="3:3" x14ac:dyDescent="0.25">
      <c r="C31" s="111" t="s">
        <v>290</v>
      </c>
    </row>
    <row r="32" spans="3:3" x14ac:dyDescent="0.25">
      <c r="C32" s="107" t="s">
        <v>291</v>
      </c>
    </row>
    <row r="33" spans="3:3" x14ac:dyDescent="0.25">
      <c r="C33" s="107" t="s">
        <v>292</v>
      </c>
    </row>
    <row r="34" spans="3:3" x14ac:dyDescent="0.25">
      <c r="C34" s="107" t="s">
        <v>293</v>
      </c>
    </row>
    <row r="35" spans="3:3" x14ac:dyDescent="0.25">
      <c r="C35" s="10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6A20-728E-45A0-B30D-E394A6139011}">
  <sheetPr codeName="Hoja8"/>
  <dimension ref="A1:K12"/>
  <sheetViews>
    <sheetView workbookViewId="0">
      <pane ySplit="1" topLeftCell="A8" activePane="bottomLeft" state="frozen"/>
      <selection pane="bottomLeft" activeCell="I30" sqref="I30"/>
    </sheetView>
  </sheetViews>
  <sheetFormatPr baseColWidth="10" defaultRowHeight="15" x14ac:dyDescent="0.25"/>
  <cols>
    <col min="1" max="1" width="11" bestFit="1" customWidth="1"/>
    <col min="2" max="2" width="29.140625" bestFit="1" customWidth="1"/>
    <col min="3" max="3" width="20.42578125" customWidth="1"/>
    <col min="4" max="4" width="17.5703125" bestFit="1" customWidth="1"/>
    <col min="5" max="5" width="20" bestFit="1" customWidth="1"/>
    <col min="6" max="6" width="12.42578125" bestFit="1" customWidth="1"/>
    <col min="7" max="7" width="11.5703125" bestFit="1" customWidth="1"/>
    <col min="8" max="11" width="14.7109375" bestFit="1" customWidth="1"/>
  </cols>
  <sheetData>
    <row r="1" spans="1:11" ht="15" customHeight="1" x14ac:dyDescent="0.25">
      <c r="A1" s="26" t="s">
        <v>67</v>
      </c>
      <c r="B1" s="27" t="s">
        <v>68</v>
      </c>
      <c r="C1" s="26" t="s">
        <v>69</v>
      </c>
      <c r="D1" s="27" t="s">
        <v>70</v>
      </c>
      <c r="E1" s="27" t="s">
        <v>71</v>
      </c>
      <c r="F1" s="26" t="s">
        <v>72</v>
      </c>
      <c r="G1" s="26" t="s">
        <v>45</v>
      </c>
      <c r="H1" s="26" t="s">
        <v>211</v>
      </c>
      <c r="I1" s="26" t="s">
        <v>212</v>
      </c>
      <c r="J1" s="26" t="s">
        <v>213</v>
      </c>
      <c r="K1" s="26" t="s">
        <v>214</v>
      </c>
    </row>
    <row r="2" spans="1:11" ht="15" customHeight="1" x14ac:dyDescent="0.25">
      <c r="A2" s="93">
        <v>1</v>
      </c>
      <c r="B2" s="95" t="s">
        <v>191</v>
      </c>
      <c r="C2" s="96" t="s">
        <v>192</v>
      </c>
      <c r="D2" s="93">
        <v>4</v>
      </c>
      <c r="E2" s="100">
        <v>101723.40425531915</v>
      </c>
      <c r="F2" s="100">
        <v>67984.042553191481</v>
      </c>
      <c r="G2" s="100">
        <v>169707.44680851063</v>
      </c>
      <c r="H2" s="93"/>
      <c r="I2" s="93"/>
      <c r="J2" s="93"/>
      <c r="K2" s="93"/>
    </row>
    <row r="3" spans="1:11" ht="15" customHeight="1" x14ac:dyDescent="0.25">
      <c r="A3" s="98">
        <v>2</v>
      </c>
      <c r="B3" s="99" t="s">
        <v>193</v>
      </c>
      <c r="C3" s="97" t="s">
        <v>194</v>
      </c>
      <c r="D3" s="98">
        <v>80</v>
      </c>
      <c r="E3" s="101">
        <v>2034468.0851063831</v>
      </c>
      <c r="F3" s="101">
        <v>1359680.8510638296</v>
      </c>
      <c r="G3" s="101">
        <v>3394148.9361702129</v>
      </c>
      <c r="H3" s="98"/>
      <c r="I3" s="98"/>
      <c r="J3" s="98"/>
      <c r="K3" s="98"/>
    </row>
    <row r="4" spans="1:11" ht="15" customHeight="1" x14ac:dyDescent="0.25">
      <c r="A4" s="93">
        <v>3</v>
      </c>
      <c r="B4" s="95" t="s">
        <v>195</v>
      </c>
      <c r="C4" s="96" t="s">
        <v>196</v>
      </c>
      <c r="D4" s="93">
        <v>4</v>
      </c>
      <c r="E4" s="100">
        <v>101723.40425531915</v>
      </c>
      <c r="F4" s="100">
        <v>67984.042553191481</v>
      </c>
      <c r="G4" s="100">
        <v>169707.44680851063</v>
      </c>
      <c r="H4" s="93"/>
      <c r="I4" s="93"/>
      <c r="J4" s="93"/>
      <c r="K4" s="93"/>
    </row>
    <row r="5" spans="1:11" ht="15" customHeight="1" x14ac:dyDescent="0.25">
      <c r="A5" s="98">
        <v>4</v>
      </c>
      <c r="B5" s="99" t="s">
        <v>197</v>
      </c>
      <c r="C5" s="97" t="s">
        <v>198</v>
      </c>
      <c r="D5" s="98">
        <v>32</v>
      </c>
      <c r="E5" s="101">
        <v>813787.23404255323</v>
      </c>
      <c r="F5" s="101">
        <v>543872.34042553185</v>
      </c>
      <c r="G5" s="101">
        <v>1357659.5744680851</v>
      </c>
      <c r="H5" s="98"/>
      <c r="I5" s="98"/>
      <c r="J5" s="98"/>
      <c r="K5" s="98"/>
    </row>
    <row r="6" spans="1:11" ht="15" customHeight="1" x14ac:dyDescent="0.25">
      <c r="A6" s="93">
        <v>5</v>
      </c>
      <c r="B6" s="95" t="s">
        <v>199</v>
      </c>
      <c r="C6" s="96" t="s">
        <v>200</v>
      </c>
      <c r="D6" s="93">
        <v>24</v>
      </c>
      <c r="E6" s="100">
        <v>610340.42553191492</v>
      </c>
      <c r="F6" s="100">
        <v>407904.25531914888</v>
      </c>
      <c r="G6" s="100">
        <v>1018244.6808510638</v>
      </c>
      <c r="H6" s="93"/>
      <c r="I6" s="93"/>
      <c r="J6" s="93"/>
      <c r="K6" s="93"/>
    </row>
    <row r="7" spans="1:11" ht="15" customHeight="1" x14ac:dyDescent="0.25">
      <c r="A7" s="98">
        <v>6</v>
      </c>
      <c r="B7" s="99" t="s">
        <v>201</v>
      </c>
      <c r="C7" s="97" t="s">
        <v>202</v>
      </c>
      <c r="D7" s="98">
        <v>40</v>
      </c>
      <c r="E7" s="101">
        <v>1017234.0425531915</v>
      </c>
      <c r="F7" s="101">
        <v>679840.42553191481</v>
      </c>
      <c r="G7" s="101">
        <v>1697074.4680851065</v>
      </c>
      <c r="H7" s="98"/>
      <c r="I7" s="98"/>
      <c r="J7" s="98"/>
      <c r="K7" s="98"/>
    </row>
    <row r="8" spans="1:11" ht="15" customHeight="1" x14ac:dyDescent="0.25">
      <c r="A8" s="93">
        <v>7</v>
      </c>
      <c r="B8" s="95" t="s">
        <v>203</v>
      </c>
      <c r="C8" s="96" t="s">
        <v>204</v>
      </c>
      <c r="D8" s="93">
        <v>40</v>
      </c>
      <c r="E8" s="100">
        <v>1017234.0425531915</v>
      </c>
      <c r="F8" s="100">
        <v>679840.42553191481</v>
      </c>
      <c r="G8" s="100">
        <v>1697074.4680851065</v>
      </c>
      <c r="H8" s="93"/>
      <c r="I8" s="93"/>
      <c r="J8" s="93"/>
      <c r="K8" s="93"/>
    </row>
    <row r="9" spans="1:11" ht="15" customHeight="1" x14ac:dyDescent="0.25">
      <c r="A9" s="98">
        <v>8</v>
      </c>
      <c r="B9" s="99" t="s">
        <v>205</v>
      </c>
      <c r="C9" s="97" t="s">
        <v>206</v>
      </c>
      <c r="D9" s="98">
        <v>8</v>
      </c>
      <c r="E9" s="101">
        <v>203446.80851063831</v>
      </c>
      <c r="F9" s="101">
        <v>135968.08510638296</v>
      </c>
      <c r="G9" s="101">
        <v>339414.89361702127</v>
      </c>
      <c r="H9" s="98"/>
      <c r="I9" s="98"/>
      <c r="J9" s="98"/>
      <c r="K9" s="98"/>
    </row>
    <row r="10" spans="1:11" ht="15" customHeight="1" x14ac:dyDescent="0.25">
      <c r="A10" s="93">
        <v>9</v>
      </c>
      <c r="B10" s="95" t="s">
        <v>207</v>
      </c>
      <c r="C10" s="96" t="s">
        <v>208</v>
      </c>
      <c r="D10" s="93">
        <v>16</v>
      </c>
      <c r="E10" s="100">
        <v>406893.61702127662</v>
      </c>
      <c r="F10" s="100">
        <v>271936.17021276592</v>
      </c>
      <c r="G10" s="100">
        <v>678829.78723404254</v>
      </c>
      <c r="H10" s="93"/>
      <c r="I10" s="93"/>
      <c r="J10" s="93"/>
      <c r="K10" s="93"/>
    </row>
    <row r="11" spans="1:11" ht="15" customHeight="1" x14ac:dyDescent="0.25">
      <c r="A11" s="98">
        <v>10</v>
      </c>
      <c r="B11" s="99" t="s">
        <v>209</v>
      </c>
      <c r="C11" s="97" t="s">
        <v>210</v>
      </c>
      <c r="D11" s="98">
        <v>8</v>
      </c>
      <c r="E11" s="101">
        <v>203446.80851063831</v>
      </c>
      <c r="F11" s="101">
        <v>135968.08510638296</v>
      </c>
      <c r="G11" s="101">
        <v>339414.89361702127</v>
      </c>
      <c r="H11" s="98"/>
      <c r="I11" s="98"/>
      <c r="J11" s="98"/>
      <c r="K11" s="98"/>
    </row>
    <row r="12" spans="1:11" ht="15" customHeight="1" x14ac:dyDescent="0.25">
      <c r="A12" s="123" t="s">
        <v>45</v>
      </c>
      <c r="B12" s="124"/>
      <c r="C12" s="125"/>
      <c r="D12" s="26">
        <v>256</v>
      </c>
      <c r="E12" s="94">
        <v>6510297.8723404258</v>
      </c>
      <c r="F12" s="94">
        <v>4350978.7234042557</v>
      </c>
      <c r="G12" s="94">
        <v>10861276.595744681</v>
      </c>
      <c r="H12" s="26"/>
      <c r="I12" s="26"/>
      <c r="J12" s="26"/>
      <c r="K12" s="26"/>
    </row>
  </sheetData>
  <mergeCells count="1">
    <mergeCell ref="A12:C12"/>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65735-4F75-4458-8B9A-80A85C55CE38}">
  <sheetPr codeName="Hoja11">
    <tabColor theme="6" tint="-0.499984740745262"/>
  </sheetPr>
  <dimension ref="A1:J31"/>
  <sheetViews>
    <sheetView workbookViewId="0">
      <selection activeCell="H33" sqref="H33"/>
    </sheetView>
  </sheetViews>
  <sheetFormatPr baseColWidth="10" defaultColWidth="11.42578125" defaultRowHeight="15" x14ac:dyDescent="0.25"/>
  <cols>
    <col min="1" max="1" width="11.42578125" style="6"/>
    <col min="2" max="2" width="51.140625" style="6" bestFit="1" customWidth="1"/>
    <col min="3" max="3" width="12.7109375" style="6" customWidth="1"/>
    <col min="4" max="16384" width="11.42578125" style="6"/>
  </cols>
  <sheetData>
    <row r="1" spans="1:10" ht="30" x14ac:dyDescent="0.25">
      <c r="A1" s="26" t="s">
        <v>67</v>
      </c>
      <c r="B1" s="27" t="s">
        <v>68</v>
      </c>
      <c r="C1" s="28" t="s">
        <v>60</v>
      </c>
      <c r="D1" s="26" t="s">
        <v>69</v>
      </c>
      <c r="E1" s="27" t="s">
        <v>70</v>
      </c>
      <c r="F1" s="27" t="s">
        <v>71</v>
      </c>
      <c r="G1" s="26" t="s">
        <v>72</v>
      </c>
      <c r="H1" s="26" t="s">
        <v>45</v>
      </c>
      <c r="I1" s="27" t="s">
        <v>73</v>
      </c>
      <c r="J1" s="26" t="s">
        <v>74</v>
      </c>
    </row>
    <row r="2" spans="1:10" x14ac:dyDescent="0.25">
      <c r="A2" s="29">
        <v>1</v>
      </c>
      <c r="B2" s="29" t="s">
        <v>19</v>
      </c>
      <c r="C2" s="30">
        <v>0.1256281407035176</v>
      </c>
      <c r="D2" s="14"/>
      <c r="E2" s="14"/>
      <c r="F2" s="14"/>
      <c r="G2" s="14"/>
      <c r="H2" s="14"/>
      <c r="I2" s="14"/>
      <c r="J2" s="14"/>
    </row>
    <row r="3" spans="1:10" x14ac:dyDescent="0.25">
      <c r="A3" s="31">
        <v>2</v>
      </c>
      <c r="B3" s="31" t="s">
        <v>16</v>
      </c>
      <c r="C3" s="32">
        <v>0.11055276381909548</v>
      </c>
      <c r="D3" s="33"/>
      <c r="E3" s="33"/>
      <c r="F3" s="33"/>
      <c r="G3" s="33"/>
      <c r="H3" s="33"/>
      <c r="I3" s="33"/>
      <c r="J3" s="33"/>
    </row>
    <row r="4" spans="1:10" x14ac:dyDescent="0.25">
      <c r="A4" s="29">
        <v>3</v>
      </c>
      <c r="B4" s="29" t="s">
        <v>17</v>
      </c>
      <c r="C4" s="30">
        <v>9.5477386934673364E-2</v>
      </c>
      <c r="D4" s="14"/>
      <c r="E4" s="14"/>
      <c r="F4" s="14"/>
      <c r="G4" s="14"/>
      <c r="H4" s="14"/>
      <c r="I4" s="14"/>
      <c r="J4" s="14"/>
    </row>
    <row r="5" spans="1:10" x14ac:dyDescent="0.25">
      <c r="A5" s="31">
        <v>4</v>
      </c>
      <c r="B5" s="31" t="s">
        <v>18</v>
      </c>
      <c r="C5" s="32">
        <v>9.5477386934673364E-2</v>
      </c>
      <c r="D5" s="33"/>
      <c r="E5" s="33"/>
      <c r="F5" s="33"/>
      <c r="G5" s="33"/>
      <c r="H5" s="33"/>
      <c r="I5" s="33"/>
      <c r="J5" s="33"/>
    </row>
    <row r="6" spans="1:10" x14ac:dyDescent="0.25">
      <c r="A6" s="29">
        <v>5</v>
      </c>
      <c r="B6" s="29" t="s">
        <v>14</v>
      </c>
      <c r="C6" s="30">
        <v>8.5427135678391969E-2</v>
      </c>
      <c r="D6" s="14"/>
      <c r="E6" s="14"/>
      <c r="F6" s="14"/>
      <c r="G6" s="14"/>
      <c r="H6" s="14"/>
      <c r="I6" s="14"/>
      <c r="J6" s="14"/>
    </row>
    <row r="7" spans="1:10" x14ac:dyDescent="0.25">
      <c r="A7" s="31">
        <v>6</v>
      </c>
      <c r="B7" s="31" t="s">
        <v>20</v>
      </c>
      <c r="C7" s="32">
        <v>8.5427135678391969E-2</v>
      </c>
      <c r="D7" s="33"/>
      <c r="E7" s="33"/>
      <c r="F7" s="33"/>
      <c r="G7" s="33"/>
      <c r="H7" s="33"/>
      <c r="I7" s="33"/>
      <c r="J7" s="33"/>
    </row>
    <row r="8" spans="1:10" x14ac:dyDescent="0.25">
      <c r="A8" s="29">
        <v>7</v>
      </c>
      <c r="B8" s="29" t="s">
        <v>21</v>
      </c>
      <c r="C8" s="30">
        <v>8.0402010050251257E-2</v>
      </c>
      <c r="D8" s="14"/>
      <c r="E8" s="14"/>
      <c r="F8" s="14"/>
      <c r="G8" s="14"/>
      <c r="H8" s="14"/>
      <c r="I8" s="14"/>
      <c r="J8" s="14"/>
    </row>
    <row r="9" spans="1:10" x14ac:dyDescent="0.25">
      <c r="A9" s="31">
        <v>8</v>
      </c>
      <c r="B9" s="31" t="s">
        <v>29</v>
      </c>
      <c r="C9" s="32">
        <v>8.0402010050251257E-2</v>
      </c>
      <c r="D9" s="33"/>
      <c r="E9" s="33"/>
      <c r="F9" s="33"/>
      <c r="G9" s="33"/>
      <c r="H9" s="33"/>
      <c r="I9" s="33"/>
      <c r="J9" s="33"/>
    </row>
    <row r="10" spans="1:10" x14ac:dyDescent="0.25">
      <c r="A10" s="29">
        <v>9</v>
      </c>
      <c r="B10" s="29" t="s">
        <v>22</v>
      </c>
      <c r="C10" s="30">
        <v>7.5376884422110546E-2</v>
      </c>
      <c r="D10" s="14"/>
      <c r="E10" s="14"/>
      <c r="F10" s="14"/>
      <c r="G10" s="14"/>
      <c r="H10" s="14"/>
      <c r="I10" s="14"/>
      <c r="J10" s="14"/>
    </row>
    <row r="11" spans="1:10" x14ac:dyDescent="0.25">
      <c r="A11" s="31">
        <v>10</v>
      </c>
      <c r="B11" s="31" t="s">
        <v>23</v>
      </c>
      <c r="C11" s="32">
        <v>5.5276381909547742E-2</v>
      </c>
      <c r="D11" s="33"/>
      <c r="E11" s="33"/>
      <c r="F11" s="33"/>
      <c r="G11" s="33"/>
      <c r="H11" s="33"/>
      <c r="I11" s="33"/>
      <c r="J11" s="33"/>
    </row>
    <row r="12" spans="1:10" x14ac:dyDescent="0.25">
      <c r="A12" s="29">
        <v>11</v>
      </c>
      <c r="B12" s="29" t="s">
        <v>13</v>
      </c>
      <c r="C12" s="30">
        <v>4.0201005025125629E-2</v>
      </c>
      <c r="D12" s="14"/>
      <c r="E12" s="14"/>
      <c r="F12" s="14"/>
      <c r="G12" s="14"/>
      <c r="H12" s="14"/>
      <c r="I12" s="14"/>
      <c r="J12" s="14"/>
    </row>
    <row r="13" spans="1:10" x14ac:dyDescent="0.25">
      <c r="A13" s="31">
        <v>12</v>
      </c>
      <c r="B13" s="31" t="s">
        <v>24</v>
      </c>
      <c r="C13" s="32">
        <v>4.0201005025125629E-2</v>
      </c>
      <c r="D13" s="33"/>
      <c r="E13" s="33"/>
      <c r="F13" s="33"/>
      <c r="G13" s="33"/>
      <c r="H13" s="33"/>
      <c r="I13" s="33"/>
      <c r="J13" s="33"/>
    </row>
    <row r="14" spans="1:10" x14ac:dyDescent="0.25">
      <c r="A14" s="29">
        <v>13</v>
      </c>
      <c r="B14" s="29" t="s">
        <v>15</v>
      </c>
      <c r="C14" s="30">
        <v>3.015075376884422E-2</v>
      </c>
      <c r="D14" s="14"/>
      <c r="E14" s="14"/>
      <c r="F14" s="14"/>
      <c r="G14" s="14"/>
      <c r="H14" s="14"/>
      <c r="I14" s="14"/>
      <c r="J14" s="14"/>
    </row>
    <row r="31" spans="7:7" x14ac:dyDescent="0.25">
      <c r="G31" s="6" t="s">
        <v>179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EF005E-4282-4D35-81BE-82CAAB88B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DIAGNÓSTICO</vt:lpstr>
      <vt:lpstr>CUARTILAMIENTO</vt:lpstr>
      <vt:lpstr>PARTITURA</vt:lpstr>
      <vt:lpstr>Hoja5</vt:lpstr>
      <vt:lpstr>ESTRATIFICACIÓN</vt:lpstr>
      <vt:lpstr>ANÁLISIS AGENTE</vt:lpstr>
      <vt:lpstr>LINEAS DE TENDENCIA EQUIPO </vt:lpstr>
      <vt:lpstr>DIAGRAMA DE FLUJO</vt:lpstr>
      <vt:lpstr>DIAGRAMA ISHIKAWA</vt:lpstr>
      <vt:lpstr>ESTRATIFICACIÓN DE CAUSAS</vt:lpstr>
      <vt:lpstr>MATRÍZ DE SELECCIÓN</vt:lpstr>
      <vt:lpstr>PLAN DE ACCIÓN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Gallego Gomez</dc:creator>
  <cp:lastModifiedBy>Norma Yanet Perez Muñoz</cp:lastModifiedBy>
  <dcterms:created xsi:type="dcterms:W3CDTF">2025-04-24T21:48:03Z</dcterms:created>
  <dcterms:modified xsi:type="dcterms:W3CDTF">2026-04-06T15:01:46Z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fae4453b-ddba-4d73-8997-95ea1dbb56fe</vt:lpwstr>
  </property>
</Properties>
</file>